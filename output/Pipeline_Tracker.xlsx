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peline" sheetId="1" state="visible" r:id="rId1"/>
    <sheet name="Dashboard" sheetId="2" state="visible" r:id="rId2"/>
    <sheet name="Closed Deals" sheetId="3" state="visible" r:id="rId3"/>
    <sheet name="Active Pipeline" sheetId="4" state="visible" r:id="rId4"/>
    <sheet name="Lost Deals" sheetId="5" state="visible" r:id="rId5"/>
  </sheets>
  <definedNames>
    <definedName name="_xlnm._FilterDatabase" localSheetId="0" hidden="1">'Pipeline'!$A$1:$K$110</definedName>
    <definedName name="_xlnm._FilterDatabase" localSheetId="2" hidden="1">'Closed Deals'!$A$1:$K$10</definedName>
    <definedName name="_xlnm._FilterDatabase" localSheetId="3" hidden="1">'Active Pipeline'!$A$1:$K$68</definedName>
    <definedName name="_xlnm._FilterDatabase" localSheetId="4" hidden="1">'Lost Deals'!$A$1:$K$33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,##0"/>
    <numFmt numFmtId="165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8"/>
    </font>
    <font>
      <i val="1"/>
      <color rgb="00666666"/>
    </font>
    <font>
      <b val="1"/>
      <sz val="13"/>
    </font>
    <font>
      <b val="1"/>
    </font>
  </fonts>
  <fills count="6">
    <fill>
      <patternFill/>
    </fill>
    <fill>
      <patternFill patternType="gray125"/>
    </fill>
    <fill>
      <patternFill patternType="solid">
        <fgColor rgb="001A237E"/>
        <bgColor rgb="001A237E"/>
      </patternFill>
    </fill>
    <fill>
      <patternFill patternType="solid">
        <fgColor rgb="00F5F5F5"/>
        <bgColor rgb="00F5F5F5"/>
      </patternFill>
    </fill>
    <fill>
      <patternFill patternType="solid">
        <fgColor rgb="00E8EAF6"/>
        <bgColor rgb="00E8EAF6"/>
      </patternFill>
    </fill>
    <fill>
      <patternFill patternType="solid">
        <fgColor rgb="00CFD8DC"/>
        <bgColor rgb="00CFD8DC"/>
      </patternFill>
    </fill>
  </fills>
  <borders count="2">
    <border>
      <left/>
      <right/>
      <top/>
      <bottom/>
      <diagonal/>
    </border>
    <border>
      <bottom style="thin">
        <color rgb="00E0E0E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164" fontId="0" fillId="3" borderId="1" pivotButton="0" quotePrefix="0" xfId="0"/>
    <xf numFmtId="164" fontId="0" fillId="0" borderId="1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4" borderId="0" pivotButton="0" quotePrefix="0" xfId="0"/>
    <xf numFmtId="0" fontId="0" fillId="4" borderId="0" pivotButton="0" quotePrefix="0" xfId="0"/>
    <xf numFmtId="0" fontId="5" fillId="5" borderId="0" pivotButton="0" quotePrefix="0" xfId="0"/>
    <xf numFmtId="164" fontId="0" fillId="0" borderId="0" pivotButton="0" quotePrefix="0" xfId="0"/>
    <xf numFmtId="0" fontId="5" fillId="0" borderId="0" pivotButton="0" quotePrefix="0" xfId="0"/>
    <xf numFmtId="164" fontId="5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dxfs count="4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  <dxf>
      <fill>
        <patternFill patternType="solid">
          <fgColor rgb="00FFF9C4"/>
          <bgColor rgb="00FFF9C4"/>
        </patternFill>
      </fill>
    </dxf>
    <dxf>
      <fill>
        <patternFill patternType="solid">
          <fgColor rgb="00FFE0B2"/>
          <bgColor rgb="00FFE0B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237E"/>
    <outlinePr summaryBelow="1" summaryRight="1"/>
    <pageSetUpPr/>
  </sheetPr>
  <dimension ref="A1:K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9" customWidth="1" min="3" max="3"/>
    <col width="12" customWidth="1" min="4" max="4"/>
    <col width="17" customWidth="1" min="5" max="5"/>
    <col width="17" customWidth="1" min="6" max="6"/>
    <col width="39" customWidth="1" min="7" max="7"/>
    <col width="16" customWidth="1" min="8" max="8"/>
    <col width="13" customWidth="1" min="9" max="9"/>
    <col width="25" customWidth="1" min="10" max="10"/>
    <col width="40" customWidth="1" min="11" max="11"/>
  </cols>
  <sheetData>
    <row r="1">
      <c r="A1" s="1" t="inlineStr">
        <is>
          <t>Date</t>
        </is>
      </c>
      <c r="B1" s="1" t="inlineStr">
        <is>
          <t>Brand Name</t>
        </is>
      </c>
      <c r="C1" s="1" t="inlineStr">
        <is>
          <t>Type of Scope</t>
        </is>
      </c>
      <c r="D1" s="1" t="inlineStr">
        <is>
          <t>Handled by</t>
        </is>
      </c>
      <c r="E1" s="1" t="inlineStr">
        <is>
          <t>POC Name</t>
        </is>
      </c>
      <c r="F1" s="1" t="inlineStr">
        <is>
          <t>Phone</t>
        </is>
      </c>
      <c r="G1" s="1" t="inlineStr">
        <is>
          <t>Email</t>
        </is>
      </c>
      <c r="H1" s="1" t="inlineStr">
        <is>
          <t>Stage</t>
        </is>
      </c>
      <c r="I1" s="1" t="inlineStr">
        <is>
          <t>Costs</t>
        </is>
      </c>
      <c r="J1" s="1" t="inlineStr">
        <is>
          <t>Proposal Date/Follow up</t>
        </is>
      </c>
      <c r="K1" s="1" t="inlineStr">
        <is>
          <t>Status</t>
        </is>
      </c>
    </row>
    <row r="2">
      <c r="A2" s="2" t="inlineStr"/>
      <c r="B2" s="2" t="inlineStr">
        <is>
          <t>Food Brand Launch</t>
        </is>
      </c>
      <c r="C2" s="2" t="inlineStr">
        <is>
          <t>Branding</t>
        </is>
      </c>
      <c r="D2" s="2" t="inlineStr">
        <is>
          <t>Tan</t>
        </is>
      </c>
      <c r="E2" s="2" t="inlineStr">
        <is>
          <t>Akshay</t>
        </is>
      </c>
      <c r="F2" s="2" t="inlineStr">
        <is>
          <t>+91 98338 14029</t>
        </is>
      </c>
      <c r="G2" s="2" t="inlineStr"/>
      <c r="H2" s="2" t="inlineStr">
        <is>
          <t>Didnt work out</t>
        </is>
      </c>
      <c r="I2" s="2" t="inlineStr">
        <is>
          <t>-</t>
        </is>
      </c>
      <c r="J2" s="2" t="inlineStr"/>
      <c r="K2" s="2" t="inlineStr">
        <is>
          <t>Didnt work out because of costs.</t>
        </is>
      </c>
    </row>
    <row r="3">
      <c r="A3" s="3" t="inlineStr"/>
      <c r="B3" s="3" t="inlineStr">
        <is>
          <t>The Premium Basket</t>
        </is>
      </c>
      <c r="C3" s="3" t="inlineStr">
        <is>
          <t>Branding</t>
        </is>
      </c>
      <c r="D3" s="3" t="inlineStr">
        <is>
          <t>Ally</t>
        </is>
      </c>
      <c r="E3" s="3" t="inlineStr">
        <is>
          <t>Ebrahim Kothari</t>
        </is>
      </c>
      <c r="F3" s="3" t="inlineStr">
        <is>
          <t>+91 88281 92685</t>
        </is>
      </c>
      <c r="G3" s="3" t="inlineStr">
        <is>
          <t>ebrahim@thepremiumbasket.com</t>
        </is>
      </c>
      <c r="H3" s="3" t="inlineStr">
        <is>
          <t>Didnt work out</t>
        </is>
      </c>
      <c r="I3" s="4" t="n">
        <v>167500000</v>
      </c>
      <c r="J3" s="3" t="inlineStr"/>
      <c r="K3" s="3" t="inlineStr">
        <is>
          <t>We've shared the signed NDA with the client</t>
        </is>
      </c>
    </row>
    <row r="4">
      <c r="A4" s="2" t="inlineStr"/>
      <c r="B4" s="2" t="inlineStr">
        <is>
          <t>Miss Claire</t>
        </is>
      </c>
      <c r="C4" s="2" t="inlineStr">
        <is>
          <t>Branding</t>
        </is>
      </c>
      <c r="D4" s="2" t="inlineStr">
        <is>
          <t>Ally</t>
        </is>
      </c>
      <c r="E4" s="2" t="inlineStr">
        <is>
          <t>Mallika Ahar</t>
        </is>
      </c>
      <c r="F4" s="2" t="inlineStr">
        <is>
          <t>Not available</t>
        </is>
      </c>
      <c r="G4" s="2" t="inlineStr"/>
      <c r="H4" s="2" t="inlineStr">
        <is>
          <t>Didnt work out</t>
        </is>
      </c>
      <c r="I4" s="5" t="n">
        <v>122500000</v>
      </c>
      <c r="J4" s="2" t="inlineStr"/>
      <c r="K4" s="2" t="inlineStr">
        <is>
          <t>SPOC has been unresponsive.</t>
        </is>
      </c>
    </row>
    <row r="5">
      <c r="A5" s="3" t="inlineStr"/>
      <c r="B5" s="3" t="inlineStr">
        <is>
          <t>Raindus Beauty Care</t>
        </is>
      </c>
      <c r="C5" s="3" t="inlineStr">
        <is>
          <t>Branding</t>
        </is>
      </c>
      <c r="D5" s="3" t="inlineStr">
        <is>
          <t>Ally</t>
        </is>
      </c>
      <c r="E5" s="3" t="inlineStr">
        <is>
          <t>Saumya</t>
        </is>
      </c>
      <c r="F5" s="3" t="inlineStr">
        <is>
          <t>+91 78019 04359</t>
        </is>
      </c>
      <c r="G5" s="3" t="inlineStr">
        <is>
          <t>admin@eurekacosmo.com</t>
        </is>
      </c>
      <c r="H5" s="3" t="inlineStr">
        <is>
          <t>Didnt work out</t>
        </is>
      </c>
      <c r="I5" s="4" t="n">
        <v>122500000</v>
      </c>
      <c r="J5" s="3" t="inlineStr"/>
      <c r="K5" s="3" t="inlineStr">
        <is>
          <t>Branding proposal shared.</t>
        </is>
      </c>
    </row>
    <row r="6">
      <c r="A6" s="2" t="inlineStr"/>
      <c r="B6" s="2" t="inlineStr">
        <is>
          <t>Multichem</t>
        </is>
      </c>
      <c r="C6" s="2" t="inlineStr">
        <is>
          <t>Branding</t>
        </is>
      </c>
      <c r="D6" s="2" t="inlineStr">
        <is>
          <t>Ally</t>
        </is>
      </c>
      <c r="E6" s="2" t="inlineStr">
        <is>
          <t>Sejal Jadiyar</t>
        </is>
      </c>
      <c r="F6" s="2" t="inlineStr">
        <is>
          <t>+91 77382 47802</t>
        </is>
      </c>
      <c r="G6" s="2" t="inlineStr">
        <is>
          <t>hello@multichemindia.com</t>
        </is>
      </c>
      <c r="H6" s="2" t="inlineStr">
        <is>
          <t>Didnt work out</t>
        </is>
      </c>
      <c r="I6" s="5" t="n">
        <v>74500000</v>
      </c>
      <c r="J6" s="2" t="inlineStr"/>
      <c r="K6" s="2" t="inlineStr">
        <is>
          <t>Awaiting an update from the founder.</t>
        </is>
      </c>
    </row>
    <row r="7">
      <c r="A7" s="3" t="inlineStr"/>
      <c r="B7" s="3" t="inlineStr">
        <is>
          <t>Restaurant</t>
        </is>
      </c>
      <c r="C7" s="3" t="inlineStr">
        <is>
          <t>Branding</t>
        </is>
      </c>
      <c r="D7" s="3" t="inlineStr">
        <is>
          <t>Ally</t>
        </is>
      </c>
      <c r="E7" s="3" t="inlineStr">
        <is>
          <t>Ashwin</t>
        </is>
      </c>
      <c r="F7" s="3" t="inlineStr">
        <is>
          <t>+91 73027 39698</t>
        </is>
      </c>
      <c r="G7" s="3" t="inlineStr">
        <is>
          <t>ashwin2002singh@gmail.com</t>
        </is>
      </c>
      <c r="H7" s="3" t="inlineStr">
        <is>
          <t>Closed</t>
        </is>
      </c>
      <c r="I7" s="4" t="n">
        <v>120000000</v>
      </c>
      <c r="J7" s="3" t="inlineStr"/>
      <c r="K7" s="3" t="inlineStr">
        <is>
          <t>Closed. Awaiting advance payment, client has mentioned that is in process.</t>
        </is>
      </c>
    </row>
    <row r="8">
      <c r="A8" s="2" t="inlineStr"/>
      <c r="B8" s="2" t="inlineStr">
        <is>
          <t>Bongchie</t>
        </is>
      </c>
      <c r="C8" s="2" t="inlineStr">
        <is>
          <t>Branding</t>
        </is>
      </c>
      <c r="D8" s="2" t="inlineStr">
        <is>
          <t>Ally</t>
        </is>
      </c>
      <c r="E8" s="2" t="inlineStr">
        <is>
          <t>Tushar</t>
        </is>
      </c>
      <c r="F8" s="2" t="inlineStr">
        <is>
          <t>+91 94547 48677</t>
        </is>
      </c>
      <c r="G8" s="2" t="inlineStr">
        <is>
          <t>tushar@bongchie.com</t>
        </is>
      </c>
      <c r="H8" s="2" t="inlineStr">
        <is>
          <t>Didnt work out</t>
        </is>
      </c>
      <c r="I8" s="5" t="n">
        <v>140000000</v>
      </c>
      <c r="J8" s="2" t="inlineStr"/>
      <c r="K8" s="2" t="inlineStr">
        <is>
          <t>Follow up done on the 1st July. No response. Awaiting a response.</t>
        </is>
      </c>
    </row>
    <row r="9">
      <c r="A9" s="3" t="inlineStr"/>
      <c r="B9" s="3" t="inlineStr">
        <is>
          <t>Sweet Dreams</t>
        </is>
      </c>
      <c r="C9" s="3" t="inlineStr">
        <is>
          <t>Branding</t>
        </is>
      </c>
      <c r="D9" s="3" t="inlineStr">
        <is>
          <t>Ally</t>
        </is>
      </c>
      <c r="E9" s="3" t="inlineStr">
        <is>
          <t>Khushi</t>
        </is>
      </c>
      <c r="F9" s="3" t="inlineStr">
        <is>
          <t>+91 98709 10111</t>
        </is>
      </c>
      <c r="G9" s="3" t="inlineStr">
        <is>
          <t>khushi.apwig@gmail.com</t>
        </is>
      </c>
      <c r="H9" s="3" t="inlineStr">
        <is>
          <t>Closed</t>
        </is>
      </c>
      <c r="I9" s="4" t="n">
        <v>100000000</v>
      </c>
      <c r="J9" s="3" t="inlineStr"/>
      <c r="K9" s="3" t="inlineStr">
        <is>
          <t>Contract needs to be shared</t>
        </is>
      </c>
    </row>
    <row r="10">
      <c r="A10" s="2" t="inlineStr"/>
      <c r="B10" s="2" t="inlineStr">
        <is>
          <t>KSM Ashwagandha</t>
        </is>
      </c>
      <c r="C10" s="2" t="inlineStr">
        <is>
          <t>Branding, Web</t>
        </is>
      </c>
      <c r="D10" s="2" t="inlineStr">
        <is>
          <t>Tan</t>
        </is>
      </c>
      <c r="E10" s="2" t="inlineStr">
        <is>
          <t>Kartikeya</t>
        </is>
      </c>
      <c r="F10" s="2" t="inlineStr">
        <is>
          <t>+91 98490 30798</t>
        </is>
      </c>
      <c r="G10" s="2" t="inlineStr">
        <is>
          <t>kartikeya@ixoreal.com</t>
        </is>
      </c>
      <c r="H10" s="2" t="inlineStr">
        <is>
          <t>Closed</t>
        </is>
      </c>
      <c r="I10" s="5" t="n">
        <v>32500000</v>
      </c>
      <c r="J10" s="2" t="inlineStr"/>
      <c r="K10" s="2" t="inlineStr">
        <is>
          <t>Project completed.</t>
        </is>
      </c>
    </row>
    <row r="11">
      <c r="A11" s="3" t="inlineStr"/>
      <c r="B11" s="3" t="inlineStr">
        <is>
          <t>Welspun</t>
        </is>
      </c>
      <c r="C11" s="3" t="inlineStr">
        <is>
          <t>Branding</t>
        </is>
      </c>
      <c r="D11" s="3" t="inlineStr">
        <is>
          <t>Ally</t>
        </is>
      </c>
      <c r="E11" s="3" t="inlineStr">
        <is>
          <t>Alok</t>
        </is>
      </c>
      <c r="F11" s="3" t="inlineStr">
        <is>
          <t>+91 99980 03155</t>
        </is>
      </c>
      <c r="G11" s="3" t="inlineStr">
        <is>
          <t>Alok_Bhinde@welspun.com</t>
        </is>
      </c>
      <c r="H11" s="3" t="inlineStr">
        <is>
          <t>Didnt work out</t>
        </is>
      </c>
      <c r="I11" s="3" t="inlineStr"/>
      <c r="J11" s="3" t="inlineStr"/>
      <c r="K11" s="3" t="inlineStr">
        <is>
          <t>Client has said that CMO is travelling and this will take sometime to close on.</t>
        </is>
      </c>
    </row>
    <row r="12">
      <c r="A12" s="2" t="inlineStr"/>
      <c r="B12" s="2" t="inlineStr">
        <is>
          <t>Un'layered</t>
        </is>
      </c>
      <c r="C12" s="2" t="inlineStr">
        <is>
          <t>Branding</t>
        </is>
      </c>
      <c r="D12" s="2" t="inlineStr">
        <is>
          <t>Ally</t>
        </is>
      </c>
      <c r="E12" s="2" t="inlineStr">
        <is>
          <t>Bhawna</t>
        </is>
      </c>
      <c r="F12" s="2" t="inlineStr">
        <is>
          <t>+91 95282 55005</t>
        </is>
      </c>
      <c r="G12" s="2" t="inlineStr">
        <is>
          <t>bhawnasharmaofficial@gmail.com</t>
        </is>
      </c>
      <c r="H12" s="2" t="inlineStr">
        <is>
          <t>Didnt work out</t>
        </is>
      </c>
      <c r="I12" s="5" t="n">
        <v>100000000</v>
      </c>
      <c r="J12" s="2" t="inlineStr"/>
      <c r="K12" s="2" t="inlineStr">
        <is>
          <t>Call to be made on 2nd July 2025.</t>
        </is>
      </c>
    </row>
    <row r="13">
      <c r="A13" s="3" t="inlineStr"/>
      <c r="B13" s="3" t="inlineStr">
        <is>
          <t>Nilambari Sarees</t>
        </is>
      </c>
      <c r="C13" s="3" t="inlineStr">
        <is>
          <t>Branding, Web</t>
        </is>
      </c>
      <c r="D13" s="3" t="inlineStr">
        <is>
          <t>Tan</t>
        </is>
      </c>
      <c r="E13" s="3" t="inlineStr">
        <is>
          <t>Pranav</t>
        </is>
      </c>
      <c r="F13" s="3" t="inlineStr">
        <is>
          <t>+91 88004 77886</t>
        </is>
      </c>
      <c r="G13" s="3" t="inlineStr">
        <is>
          <t>pranavnilambari@gmail.com</t>
        </is>
      </c>
      <c r="H13" s="3" t="inlineStr">
        <is>
          <t>Commercials</t>
        </is>
      </c>
      <c r="I13" s="4" t="n">
        <v>120000000</v>
      </c>
      <c r="J13" s="3" t="inlineStr"/>
      <c r="K13" s="3" t="inlineStr">
        <is>
          <t>He ghosted us.</t>
        </is>
      </c>
    </row>
    <row r="14">
      <c r="A14" s="2" t="inlineStr"/>
      <c r="B14" s="2" t="inlineStr">
        <is>
          <t>Stationery Brand</t>
        </is>
      </c>
      <c r="C14" s="2" t="inlineStr">
        <is>
          <t>Branding</t>
        </is>
      </c>
      <c r="D14" s="2" t="inlineStr">
        <is>
          <t>Ally</t>
        </is>
      </c>
      <c r="E14" s="2" t="inlineStr">
        <is>
          <t>Radhika</t>
        </is>
      </c>
      <c r="F14" s="2" t="inlineStr">
        <is>
          <t>+91 88894 44400</t>
        </is>
      </c>
      <c r="G14" s="2" t="inlineStr">
        <is>
          <t>radhika@krishnaunited.com</t>
        </is>
      </c>
      <c r="H14" s="2" t="inlineStr">
        <is>
          <t>Closed</t>
        </is>
      </c>
      <c r="I14" s="5" t="n">
        <v>50000000</v>
      </c>
      <c r="J14" s="2" t="inlineStr"/>
      <c r="K14" s="2" t="inlineStr">
        <is>
          <t>Branding proposal closed.</t>
        </is>
      </c>
    </row>
    <row r="15">
      <c r="A15" s="3" t="inlineStr"/>
      <c r="B15" s="3" t="inlineStr">
        <is>
          <t>CtrlS</t>
        </is>
      </c>
      <c r="C15" s="3" t="inlineStr">
        <is>
          <t>Branding</t>
        </is>
      </c>
      <c r="D15" s="3" t="inlineStr">
        <is>
          <t>Ally</t>
        </is>
      </c>
      <c r="E15" s="3" t="inlineStr">
        <is>
          <t>Pragun</t>
        </is>
      </c>
      <c r="F15" s="3" t="inlineStr">
        <is>
          <t>+91 93729 10823</t>
        </is>
      </c>
      <c r="G15" s="3" t="inlineStr">
        <is>
          <t>pragun.narang@ctrls.in</t>
        </is>
      </c>
      <c r="H15" s="3" t="inlineStr">
        <is>
          <t>Commercials</t>
        </is>
      </c>
      <c r="I15" s="4" t="n">
        <v>350000000</v>
      </c>
      <c r="J15" s="3" t="inlineStr"/>
      <c r="K15" s="3" t="inlineStr">
        <is>
          <t>Client will update us on 14th August since he is on leave.</t>
        </is>
      </c>
    </row>
    <row r="16">
      <c r="A16" s="2" t="inlineStr"/>
      <c r="B16" s="2" t="inlineStr">
        <is>
          <t>Switchback</t>
        </is>
      </c>
      <c r="C16" s="2" t="inlineStr">
        <is>
          <t>Branding</t>
        </is>
      </c>
      <c r="D16" s="2" t="inlineStr">
        <is>
          <t>Ally</t>
        </is>
      </c>
      <c r="E16" s="2" t="inlineStr">
        <is>
          <t>Anushri</t>
        </is>
      </c>
      <c r="F16" s="2" t="inlineStr">
        <is>
          <t>+91 98198 77308</t>
        </is>
      </c>
      <c r="G16" s="2" t="inlineStr">
        <is>
          <t>anushri20@gmail.com</t>
        </is>
      </c>
      <c r="H16" s="2" t="inlineStr">
        <is>
          <t>Commercials</t>
        </is>
      </c>
      <c r="I16" s="5" t="n">
        <v>150000000</v>
      </c>
      <c r="J16" s="2" t="inlineStr"/>
      <c r="K16" s="2" t="inlineStr">
        <is>
          <t>This is cold atm</t>
        </is>
      </c>
    </row>
    <row r="17">
      <c r="A17" s="3" t="inlineStr"/>
      <c r="B17" s="3" t="inlineStr">
        <is>
          <t>Ride Glyde</t>
        </is>
      </c>
      <c r="C17" s="3" t="inlineStr">
        <is>
          <t>Branding</t>
        </is>
      </c>
      <c r="D17" s="3" t="inlineStr">
        <is>
          <t>Ally</t>
        </is>
      </c>
      <c r="E17" s="3" t="inlineStr">
        <is>
          <t>Vignesh</t>
        </is>
      </c>
      <c r="F17" s="3" t="inlineStr">
        <is>
          <t>+91 91369 60544</t>
        </is>
      </c>
      <c r="G17" s="3" t="inlineStr">
        <is>
          <t>vignesh@rideglyde.in</t>
        </is>
      </c>
      <c r="H17" s="3" t="inlineStr">
        <is>
          <t>Commercials</t>
        </is>
      </c>
      <c r="I17" s="4" t="n">
        <v>150000000</v>
      </c>
      <c r="J17" s="3" t="inlineStr"/>
      <c r="K17" s="3" t="inlineStr">
        <is>
          <t>Client pushing marketing a bit for now, focusing on finalising operations.</t>
        </is>
      </c>
    </row>
    <row r="18">
      <c r="A18" s="2" t="inlineStr"/>
      <c r="B18" s="2" t="inlineStr">
        <is>
          <t>Kimirica</t>
        </is>
      </c>
      <c r="C18" s="2" t="inlineStr">
        <is>
          <t>Branding</t>
        </is>
      </c>
      <c r="D18" s="2" t="inlineStr">
        <is>
          <t>Ally</t>
        </is>
      </c>
      <c r="E18" s="2" t="inlineStr">
        <is>
          <t>Saomya</t>
        </is>
      </c>
      <c r="F18" s="2" t="inlineStr">
        <is>
          <t>+91 98930 60926</t>
        </is>
      </c>
      <c r="G18" s="2" t="inlineStr">
        <is>
          <t>soamya.mital@kimirica.com</t>
        </is>
      </c>
      <c r="H18" s="2" t="inlineStr">
        <is>
          <t>Commercials</t>
        </is>
      </c>
      <c r="I18" s="5" t="n">
        <v>150000000</v>
      </c>
      <c r="J18" s="2" t="inlineStr"/>
      <c r="K18" s="2" t="inlineStr">
        <is>
          <t>On hold atm</t>
        </is>
      </c>
    </row>
    <row r="19">
      <c r="A19" s="3" t="inlineStr"/>
      <c r="B19" s="3" t="inlineStr">
        <is>
          <t>Messe Muenchen</t>
        </is>
      </c>
      <c r="C19" s="3" t="inlineStr">
        <is>
          <t>Branding</t>
        </is>
      </c>
      <c r="D19" s="3" t="inlineStr">
        <is>
          <t>Ally</t>
        </is>
      </c>
      <c r="E19" s="3" t="inlineStr">
        <is>
          <t>Riddhi</t>
        </is>
      </c>
      <c r="F19" s="3" t="inlineStr">
        <is>
          <t>+91 75179 98999</t>
        </is>
      </c>
      <c r="G19" s="3" t="inlineStr">
        <is>
          <t>support.marcom@mm-india.in</t>
        </is>
      </c>
      <c r="H19" s="3" t="inlineStr">
        <is>
          <t>Didnt work out</t>
        </is>
      </c>
      <c r="I19" s="4" t="n">
        <v>180000000</v>
      </c>
      <c r="J19" s="3" t="inlineStr"/>
      <c r="K19" s="3" t="inlineStr">
        <is>
          <t>Client is not responding</t>
        </is>
      </c>
    </row>
    <row r="20">
      <c r="A20" s="2" t="inlineStr"/>
      <c r="B20" s="2" t="inlineStr">
        <is>
          <t>Vanveda Organics</t>
        </is>
      </c>
      <c r="C20" s="2" t="inlineStr">
        <is>
          <t>Branding</t>
        </is>
      </c>
      <c r="D20" s="2" t="inlineStr">
        <is>
          <t>Ally</t>
        </is>
      </c>
      <c r="E20" s="2" t="inlineStr">
        <is>
          <t>Chandan</t>
        </is>
      </c>
      <c r="F20" s="2" t="inlineStr">
        <is>
          <t>+91 75179 98999</t>
        </is>
      </c>
      <c r="G20" s="2" t="inlineStr">
        <is>
          <t>support.marcom@mm-india.in</t>
        </is>
      </c>
      <c r="H20" s="2" t="inlineStr">
        <is>
          <t>Didnt work out</t>
        </is>
      </c>
      <c r="I20" s="5" t="n">
        <v>85000000</v>
      </c>
      <c r="J20" s="2" t="inlineStr"/>
      <c r="K20" s="2" t="inlineStr">
        <is>
          <t>Update to be received by this weekend. 9-10th August</t>
        </is>
      </c>
    </row>
    <row r="21">
      <c r="A21" s="3" t="inlineStr"/>
      <c r="B21" s="3" t="inlineStr">
        <is>
          <t>Pepsodent</t>
        </is>
      </c>
      <c r="C21" s="3" t="inlineStr">
        <is>
          <t>Branding</t>
        </is>
      </c>
      <c r="D21" s="3" t="inlineStr">
        <is>
          <t>Tan</t>
        </is>
      </c>
      <c r="E21" s="3" t="inlineStr">
        <is>
          <t>Reshma</t>
        </is>
      </c>
      <c r="F21" s="3" t="inlineStr">
        <is>
          <t>+91 99302 99445</t>
        </is>
      </c>
      <c r="G21" s="3" t="inlineStr">
        <is>
          <t>reshma.vaidya@unilever.com</t>
        </is>
      </c>
      <c r="H21" s="3" t="inlineStr">
        <is>
          <t>Closed</t>
        </is>
      </c>
      <c r="I21" s="4" t="n">
        <v>100000000</v>
      </c>
      <c r="J21" s="3" t="inlineStr"/>
      <c r="K21" s="3" t="inlineStr">
        <is>
          <t>Project completed.</t>
        </is>
      </c>
    </row>
    <row r="22">
      <c r="A22" s="2" t="inlineStr"/>
      <c r="B22" s="2" t="inlineStr">
        <is>
          <t>Zydus Cadila</t>
        </is>
      </c>
      <c r="C22" s="2" t="inlineStr">
        <is>
          <t>Branding</t>
        </is>
      </c>
      <c r="D22" s="2" t="inlineStr">
        <is>
          <t>Tan</t>
        </is>
      </c>
      <c r="E22" s="2" t="inlineStr">
        <is>
          <t>Yash</t>
        </is>
      </c>
      <c r="F22" s="2" t="inlineStr">
        <is>
          <t>+91 98697 31997</t>
        </is>
      </c>
      <c r="G22" s="2" t="inlineStr">
        <is>
          <t>YASHL.GANDHI@zyduslife.com</t>
        </is>
      </c>
      <c r="H22" s="2" t="inlineStr">
        <is>
          <t>Didnt work out</t>
        </is>
      </c>
      <c r="I22" s="5" t="n">
        <v>70000000</v>
      </c>
      <c r="J22" s="2" t="inlineStr"/>
      <c r="K22" s="2" t="inlineStr">
        <is>
          <t>They ghosted us.</t>
        </is>
      </c>
    </row>
    <row r="23">
      <c r="A23" s="3" t="inlineStr"/>
      <c r="B23" s="3" t="inlineStr">
        <is>
          <t>Unomax</t>
        </is>
      </c>
      <c r="C23" s="3" t="inlineStr">
        <is>
          <t>Branding</t>
        </is>
      </c>
      <c r="D23" s="3" t="inlineStr">
        <is>
          <t>Ally</t>
        </is>
      </c>
      <c r="E23" s="3" t="inlineStr">
        <is>
          <t>Sajad</t>
        </is>
      </c>
      <c r="F23" s="3" t="inlineStr"/>
      <c r="G23" s="3" t="inlineStr">
        <is>
          <t>sajjad.godhrawala@unomaxpens.com</t>
        </is>
      </c>
      <c r="H23" s="3" t="inlineStr">
        <is>
          <t>Didnt work out</t>
        </is>
      </c>
      <c r="I23" s="4" t="n">
        <v>50000000</v>
      </c>
      <c r="J23" s="3" t="inlineStr"/>
      <c r="K23" s="3" t="inlineStr">
        <is>
          <t>Closed on an industrial design agency</t>
        </is>
      </c>
    </row>
    <row r="24">
      <c r="A24" s="2" t="inlineStr"/>
      <c r="B24" s="2" t="inlineStr">
        <is>
          <t>Sports Nutrition Brand</t>
        </is>
      </c>
      <c r="C24" s="2" t="inlineStr">
        <is>
          <t>Branding</t>
        </is>
      </c>
      <c r="D24" s="2" t="inlineStr">
        <is>
          <t>Ally</t>
        </is>
      </c>
      <c r="E24" s="2" t="inlineStr">
        <is>
          <t>Shabnam</t>
        </is>
      </c>
      <c r="F24" s="2" t="inlineStr">
        <is>
          <t>+91 97268 82211</t>
        </is>
      </c>
      <c r="G24" s="2" t="inlineStr">
        <is>
          <t>Shabnamhalani8@gmail.com</t>
        </is>
      </c>
      <c r="H24" s="2" t="inlineStr">
        <is>
          <t>Commercials</t>
        </is>
      </c>
      <c r="I24" s="5" t="n">
        <v>115000000</v>
      </c>
      <c r="J24" s="2" t="inlineStr"/>
      <c r="K24" s="2" t="inlineStr">
        <is>
          <t>Follow up done client will get back post the long weekend</t>
        </is>
      </c>
    </row>
    <row r="25">
      <c r="A25" s="3" t="inlineStr"/>
      <c r="B25" s="3" t="inlineStr">
        <is>
          <t>Speedex</t>
        </is>
      </c>
      <c r="C25" s="3" t="inlineStr">
        <is>
          <t>Branding</t>
        </is>
      </c>
      <c r="D25" s="3" t="inlineStr">
        <is>
          <t>Ally</t>
        </is>
      </c>
      <c r="E25" s="3" t="inlineStr">
        <is>
          <t>Dewakar</t>
        </is>
      </c>
      <c r="F25" s="3" t="inlineStr">
        <is>
          <t>+91 99112 02317</t>
        </is>
      </c>
      <c r="G25" s="3" t="inlineStr">
        <is>
          <t>brandmarketer@speedexind.com</t>
        </is>
      </c>
      <c r="H25" s="3" t="inlineStr">
        <is>
          <t>Commercials</t>
        </is>
      </c>
      <c r="I25" s="4" t="n">
        <v>100000000</v>
      </c>
      <c r="J25" s="3" t="inlineStr"/>
      <c r="K25" s="3" t="inlineStr">
        <is>
          <t>Pitch on 26th August</t>
        </is>
      </c>
    </row>
    <row r="26">
      <c r="A26" s="2" t="inlineStr"/>
      <c r="B26" s="2" t="inlineStr">
        <is>
          <t>Scapes Hospitality</t>
        </is>
      </c>
      <c r="C26" s="2" t="inlineStr">
        <is>
          <t>SMM, Web</t>
        </is>
      </c>
      <c r="D26" s="2" t="inlineStr">
        <is>
          <t>Tan</t>
        </is>
      </c>
      <c r="E26" s="2" t="inlineStr">
        <is>
          <t>Aastha</t>
        </is>
      </c>
      <c r="F26" s="2" t="inlineStr">
        <is>
          <t>+91 81300 01729</t>
        </is>
      </c>
      <c r="G26" s="2" t="inlineStr">
        <is>
          <t>aastha@scapeshospitality.com</t>
        </is>
      </c>
      <c r="H26" s="2" t="inlineStr">
        <is>
          <t>Commercials</t>
        </is>
      </c>
      <c r="I26" s="2" t="inlineStr"/>
      <c r="J26" s="2" t="inlineStr"/>
      <c r="K26" s="2" t="inlineStr">
        <is>
          <t>Project was on hold.</t>
        </is>
      </c>
    </row>
    <row r="27">
      <c r="A27" s="3" t="inlineStr"/>
      <c r="B27" s="3" t="inlineStr">
        <is>
          <t>Cafe Branding</t>
        </is>
      </c>
      <c r="C27" s="3" t="inlineStr">
        <is>
          <t>Branding</t>
        </is>
      </c>
      <c r="D27" s="3" t="inlineStr">
        <is>
          <t>Ally</t>
        </is>
      </c>
      <c r="E27" s="3" t="inlineStr">
        <is>
          <t>Sharon</t>
        </is>
      </c>
      <c r="F27" s="3" t="inlineStr">
        <is>
          <t>+91 99306 56794</t>
        </is>
      </c>
      <c r="G27" s="3" t="inlineStr">
        <is>
          <t>sharon22193@gmail.com</t>
        </is>
      </c>
      <c r="H27" s="3" t="inlineStr">
        <is>
          <t>Didnt work out</t>
        </is>
      </c>
      <c r="I27" s="4" t="n">
        <v>50000000</v>
      </c>
      <c r="J27" s="3" t="inlineStr"/>
      <c r="K27" s="3" t="inlineStr">
        <is>
          <t>Branding proposal shared. Client is reviewing it at their end</t>
        </is>
      </c>
    </row>
    <row r="28">
      <c r="A28" s="2" t="inlineStr"/>
      <c r="B28" s="2" t="inlineStr">
        <is>
          <t>Horizon Tech Park</t>
        </is>
      </c>
      <c r="C28" s="2" t="inlineStr">
        <is>
          <t>Coffee table Book</t>
        </is>
      </c>
      <c r="D28" s="2" t="inlineStr">
        <is>
          <t>Ally</t>
        </is>
      </c>
      <c r="E28" s="2" t="inlineStr"/>
      <c r="F28" s="2" t="inlineStr"/>
      <c r="G28" s="2" t="inlineStr">
        <is>
          <t>ronnie.Zaiwalla@hiparks.com</t>
        </is>
      </c>
      <c r="H28" s="2" t="inlineStr"/>
      <c r="I28" s="5" t="n">
        <v>50000000</v>
      </c>
      <c r="J28" s="2" t="inlineStr"/>
      <c r="K28" s="2" t="inlineStr">
        <is>
          <t>Branding proposal and references shared for the brochure.</t>
        </is>
      </c>
    </row>
    <row r="29">
      <c r="A29" s="3" t="inlineStr"/>
      <c r="B29" s="3" t="inlineStr">
        <is>
          <t>HOF</t>
        </is>
      </c>
      <c r="C29" s="3" t="inlineStr">
        <is>
          <t>Branding</t>
        </is>
      </c>
      <c r="D29" s="3" t="inlineStr">
        <is>
          <t>Ally</t>
        </is>
      </c>
      <c r="E29" s="3" t="inlineStr">
        <is>
          <t>Somendra</t>
        </is>
      </c>
      <c r="F29" s="3" t="inlineStr">
        <is>
          <t>+91 99043 04513</t>
        </is>
      </c>
      <c r="G29" s="3" t="inlineStr">
        <is>
          <t>somendra@hofindia.com</t>
        </is>
      </c>
      <c r="H29" s="3" t="inlineStr">
        <is>
          <t>Didnt work out</t>
        </is>
      </c>
      <c r="I29" s="4" t="n">
        <v>90000000</v>
      </c>
      <c r="J29" s="3" t="inlineStr"/>
      <c r="K29" s="3" t="inlineStr">
        <is>
          <t>Branding proposal shared. Client is reviewing it at their end</t>
        </is>
      </c>
    </row>
    <row r="30">
      <c r="A30" s="2" t="inlineStr"/>
      <c r="B30" s="2" t="inlineStr">
        <is>
          <t>South Indian Restaurant</t>
        </is>
      </c>
      <c r="C30" s="2" t="inlineStr">
        <is>
          <t>Branding</t>
        </is>
      </c>
      <c r="D30" s="2" t="inlineStr">
        <is>
          <t>Ally</t>
        </is>
      </c>
      <c r="E30" s="2" t="inlineStr">
        <is>
          <t>Shashank</t>
        </is>
      </c>
      <c r="F30" s="2" t="inlineStr">
        <is>
          <t>+91 88252 02574</t>
        </is>
      </c>
      <c r="G30" s="2" t="inlineStr">
        <is>
          <t>shashanksauravv@gmail.com</t>
        </is>
      </c>
      <c r="H30" s="2" t="inlineStr">
        <is>
          <t>Didnt work out</t>
        </is>
      </c>
      <c r="I30" s="2" t="inlineStr">
        <is>
          <t>TBD</t>
        </is>
      </c>
      <c r="J30" s="2" t="inlineStr"/>
      <c r="K30" s="2" t="inlineStr">
        <is>
          <t>Client will call back</t>
        </is>
      </c>
    </row>
    <row r="31">
      <c r="A31" s="3" t="inlineStr"/>
      <c r="B31" s="3" t="inlineStr">
        <is>
          <t>Pantaloons</t>
        </is>
      </c>
      <c r="C31" s="3" t="inlineStr">
        <is>
          <t>Branding</t>
        </is>
      </c>
      <c r="D31" s="3" t="inlineStr">
        <is>
          <t>Ally</t>
        </is>
      </c>
      <c r="E31" s="3" t="inlineStr">
        <is>
          <t>Namit</t>
        </is>
      </c>
      <c r="F31" s="3" t="inlineStr">
        <is>
          <t>+91 88795 02010</t>
        </is>
      </c>
      <c r="G31" s="3" t="inlineStr">
        <is>
          <t>namit.jaiswal@abfrl.adityabirla.com</t>
        </is>
      </c>
      <c r="H31" s="3" t="inlineStr">
        <is>
          <t>Pitch</t>
        </is>
      </c>
      <c r="I31" s="3" t="inlineStr">
        <is>
          <t>TBD</t>
        </is>
      </c>
      <c r="J31" s="3" t="inlineStr"/>
      <c r="K31" s="3" t="inlineStr">
        <is>
          <t>Rate card has been shared with the client. Client to get back</t>
        </is>
      </c>
    </row>
    <row r="32">
      <c r="A32" s="2" t="inlineStr"/>
      <c r="B32" s="2" t="inlineStr">
        <is>
          <t>XOBO</t>
        </is>
      </c>
      <c r="C32" s="2" t="inlineStr">
        <is>
          <t>Branding</t>
        </is>
      </c>
      <c r="D32" s="2" t="inlineStr">
        <is>
          <t>Ally</t>
        </is>
      </c>
      <c r="E32" s="2" t="inlineStr">
        <is>
          <t>Kunal</t>
        </is>
      </c>
      <c r="F32" s="2" t="inlineStr">
        <is>
          <t>+91 99601 00100</t>
        </is>
      </c>
      <c r="G32" s="2" t="inlineStr">
        <is>
          <t>kunaljain.vega@gmail.com</t>
        </is>
      </c>
      <c r="H32" s="2" t="inlineStr">
        <is>
          <t>Pitch</t>
        </is>
      </c>
      <c r="I32" s="2" t="inlineStr"/>
      <c r="J32" s="2" t="inlineStr"/>
      <c r="K32" s="2" t="inlineStr">
        <is>
          <t>Proposal under review.</t>
        </is>
      </c>
    </row>
    <row r="33">
      <c r="A33" s="3" t="inlineStr"/>
      <c r="B33" s="3" t="inlineStr">
        <is>
          <t>Indo Atma</t>
        </is>
      </c>
      <c r="C33" s="3" t="inlineStr">
        <is>
          <t>Branding</t>
        </is>
      </c>
      <c r="D33" s="3" t="inlineStr">
        <is>
          <t>Ally</t>
        </is>
      </c>
      <c r="E33" s="3" t="inlineStr">
        <is>
          <t>Arastu</t>
        </is>
      </c>
      <c r="F33" s="3" t="inlineStr">
        <is>
          <t>+5617597364</t>
        </is>
      </c>
      <c r="G33" s="3" t="inlineStr">
        <is>
          <t>arastu@indoatma.com</t>
        </is>
      </c>
      <c r="H33" s="3" t="inlineStr">
        <is>
          <t>Didnt work out</t>
        </is>
      </c>
      <c r="I33" s="3" t="inlineStr"/>
      <c r="J33" s="3" t="inlineStr"/>
      <c r="K33" s="3" t="inlineStr">
        <is>
          <t>Client has gone silent on the NDA front.</t>
        </is>
      </c>
    </row>
    <row r="34">
      <c r="A34" s="2" t="inlineStr"/>
      <c r="B34" s="2" t="inlineStr">
        <is>
          <t>Komyo Wellness</t>
        </is>
      </c>
      <c r="C34" s="2" t="inlineStr">
        <is>
          <t>Web</t>
        </is>
      </c>
      <c r="D34" s="2" t="inlineStr">
        <is>
          <t>Ally</t>
        </is>
      </c>
      <c r="E34" s="2" t="inlineStr">
        <is>
          <t>Aditi</t>
        </is>
      </c>
      <c r="F34" s="2" t="inlineStr">
        <is>
          <t>+91 98110 29230</t>
        </is>
      </c>
      <c r="G34" s="2" t="inlineStr">
        <is>
          <t>aditi@Komyo.in</t>
        </is>
      </c>
      <c r="H34" s="2" t="inlineStr">
        <is>
          <t>Commercials</t>
        </is>
      </c>
      <c r="I34" s="2" t="inlineStr"/>
      <c r="J34" s="2" t="inlineStr"/>
      <c r="K34" s="2" t="inlineStr">
        <is>
          <t>Client to get back on the proposal</t>
        </is>
      </c>
    </row>
    <row r="35">
      <c r="A35" s="3" t="inlineStr"/>
      <c r="B35" s="3" t="inlineStr">
        <is>
          <t>KKings Events</t>
        </is>
      </c>
      <c r="C35" s="3" t="inlineStr">
        <is>
          <t>Branding</t>
        </is>
      </c>
      <c r="D35" s="3" t="inlineStr">
        <is>
          <t>Ally</t>
        </is>
      </c>
      <c r="E35" s="3" t="inlineStr">
        <is>
          <t>Ketan</t>
        </is>
      </c>
      <c r="F35" s="3" t="inlineStr"/>
      <c r="G35" s="3" t="inlineStr">
        <is>
          <t>ketan@kkingsevents.com</t>
        </is>
      </c>
      <c r="H35" s="3" t="inlineStr">
        <is>
          <t>Commercials</t>
        </is>
      </c>
      <c r="I35" s="4" t="n">
        <v>130000000</v>
      </c>
      <c r="J35" s="3" t="inlineStr"/>
      <c r="K35" s="3" t="inlineStr">
        <is>
          <t>Proposal shared client to revert on the same.</t>
        </is>
      </c>
    </row>
    <row r="36">
      <c r="A36" s="2" t="inlineStr"/>
      <c r="B36" s="2" t="inlineStr">
        <is>
          <t>Kaafi Machine</t>
        </is>
      </c>
      <c r="C36" s="2" t="inlineStr">
        <is>
          <t>Branding</t>
        </is>
      </c>
      <c r="D36" s="2" t="inlineStr">
        <is>
          <t>Ally</t>
        </is>
      </c>
      <c r="E36" s="2" t="inlineStr">
        <is>
          <t>Anurag</t>
        </is>
      </c>
      <c r="F36" s="2" t="inlineStr"/>
      <c r="G36" s="2" t="inlineStr">
        <is>
          <t>anurag.das@kaapimachines.com</t>
        </is>
      </c>
      <c r="H36" s="2" t="inlineStr">
        <is>
          <t>Pitch</t>
        </is>
      </c>
      <c r="I36" s="2" t="inlineStr">
        <is>
          <t>TBD</t>
        </is>
      </c>
      <c r="J36" s="2" t="inlineStr"/>
      <c r="K36" s="2" t="inlineStr">
        <is>
          <t>Anurag to get back on the call timing</t>
        </is>
      </c>
    </row>
    <row r="37">
      <c r="A37" s="3" t="inlineStr"/>
      <c r="B37" s="3" t="inlineStr">
        <is>
          <t>House of Swadehi</t>
        </is>
      </c>
      <c r="C37" s="3" t="inlineStr">
        <is>
          <t>Branding</t>
        </is>
      </c>
      <c r="D37" s="3" t="inlineStr">
        <is>
          <t>Ally</t>
        </is>
      </c>
      <c r="E37" s="3" t="inlineStr"/>
      <c r="F37" s="3" t="inlineStr"/>
      <c r="G37" s="3" t="inlineStr">
        <is>
          <t>houseofswadeshiofficial@gmail.com</t>
        </is>
      </c>
      <c r="H37" s="3" t="inlineStr">
        <is>
          <t>First Call</t>
        </is>
      </c>
      <c r="I37" s="3" t="inlineStr">
        <is>
          <t>TBD</t>
        </is>
      </c>
      <c r="J37" s="3" t="inlineStr"/>
      <c r="K37" s="3" t="inlineStr">
        <is>
          <t>Have requested for a call time to discuss the Logo development project.</t>
        </is>
      </c>
    </row>
    <row r="38">
      <c r="A38" s="2" t="inlineStr"/>
      <c r="B38" s="2" t="inlineStr">
        <is>
          <t>Saanya</t>
        </is>
      </c>
      <c r="C38" s="2" t="inlineStr">
        <is>
          <t>Web</t>
        </is>
      </c>
      <c r="D38" s="2" t="inlineStr">
        <is>
          <t>Ally</t>
        </is>
      </c>
      <c r="E38" s="2" t="inlineStr"/>
      <c r="F38" s="2" t="inlineStr">
        <is>
          <t>+91 93100 00663</t>
        </is>
      </c>
      <c r="G38" s="2" t="inlineStr">
        <is>
          <t>saanyabjain@gmail.com</t>
        </is>
      </c>
      <c r="H38" s="2" t="inlineStr">
        <is>
          <t>First Call</t>
        </is>
      </c>
      <c r="I38" s="2" t="inlineStr">
        <is>
          <t>TBD</t>
        </is>
      </c>
      <c r="J38" s="2" t="inlineStr"/>
      <c r="K38" s="2" t="inlineStr">
        <is>
          <t>She wants to see the backend work on the developer</t>
        </is>
      </c>
    </row>
    <row r="39">
      <c r="A39" s="3" t="inlineStr"/>
      <c r="B39" s="3" t="inlineStr">
        <is>
          <t>Ruloans</t>
        </is>
      </c>
      <c r="C39" s="3" t="inlineStr">
        <is>
          <t>Campaign</t>
        </is>
      </c>
      <c r="D39" s="3" t="inlineStr">
        <is>
          <t>Ally</t>
        </is>
      </c>
      <c r="E39" s="3" t="inlineStr">
        <is>
          <t>Shikha</t>
        </is>
      </c>
      <c r="F39" s="3" t="inlineStr"/>
      <c r="G39" s="3" t="inlineStr">
        <is>
          <t>shikha.mehta@ruloans.com</t>
        </is>
      </c>
      <c r="H39" s="3" t="inlineStr">
        <is>
          <t>Commercials</t>
        </is>
      </c>
      <c r="I39" s="3" t="inlineStr">
        <is>
          <t>TBD</t>
        </is>
      </c>
      <c r="J39" s="3" t="inlineStr"/>
      <c r="K39" s="3" t="inlineStr">
        <is>
          <t>In-person meet at the client office</t>
        </is>
      </c>
    </row>
    <row r="40">
      <c r="A40" s="2" t="inlineStr"/>
      <c r="B40" s="2" t="inlineStr">
        <is>
          <t>Humane World For Animals</t>
        </is>
      </c>
      <c r="C40" s="2" t="inlineStr">
        <is>
          <t>Creatives</t>
        </is>
      </c>
      <c r="D40" s="2" t="inlineStr">
        <is>
          <t>Ally</t>
        </is>
      </c>
      <c r="E40" s="2" t="inlineStr">
        <is>
          <t>Shreya</t>
        </is>
      </c>
      <c r="F40" s="2" t="inlineStr">
        <is>
          <t>+91 63589 13490</t>
        </is>
      </c>
      <c r="G40" s="2" t="inlineStr">
        <is>
          <t>sswaminath@humaneworld.org</t>
        </is>
      </c>
      <c r="H40" s="2" t="inlineStr">
        <is>
          <t>First Call</t>
        </is>
      </c>
      <c r="I40" s="2" t="inlineStr">
        <is>
          <t>TBD</t>
        </is>
      </c>
      <c r="J40" s="2" t="inlineStr"/>
      <c r="K40" s="2" t="inlineStr">
        <is>
          <t>revised proposal to be shared for print and outdoor</t>
        </is>
      </c>
    </row>
    <row r="41">
      <c r="A41" s="3" t="inlineStr"/>
      <c r="B41" s="3" t="inlineStr">
        <is>
          <t>Anahata</t>
        </is>
      </c>
      <c r="C41" s="3" t="inlineStr"/>
      <c r="D41" s="3" t="inlineStr">
        <is>
          <t>Ally</t>
        </is>
      </c>
      <c r="E41" s="3" t="inlineStr">
        <is>
          <t>Cecilia</t>
        </is>
      </c>
      <c r="F41" s="3" t="inlineStr">
        <is>
          <t>+91 98205 33332</t>
        </is>
      </c>
      <c r="G41" s="3" t="inlineStr">
        <is>
          <t>admin@anahata.in</t>
        </is>
      </c>
      <c r="H41" s="3" t="inlineStr">
        <is>
          <t>First Call</t>
        </is>
      </c>
      <c r="I41" s="3" t="inlineStr"/>
      <c r="J41" s="3" t="inlineStr"/>
      <c r="K41" s="3" t="inlineStr">
        <is>
          <t>she will call back</t>
        </is>
      </c>
    </row>
    <row r="42">
      <c r="A42" s="2" t="inlineStr"/>
      <c r="B42" s="2" t="inlineStr">
        <is>
          <t>Hamleys Cafe</t>
        </is>
      </c>
      <c r="C42" s="2" t="inlineStr">
        <is>
          <t>Campaign</t>
        </is>
      </c>
      <c r="D42" s="2" t="inlineStr">
        <is>
          <t>Ally</t>
        </is>
      </c>
      <c r="E42" s="2" t="inlineStr">
        <is>
          <t>Bala</t>
        </is>
      </c>
      <c r="F42" s="2" t="inlineStr">
        <is>
          <t>+91 98209 64012</t>
        </is>
      </c>
      <c r="G42" s="2" t="inlineStr">
        <is>
          <t>sivaraman.B@ril.com</t>
        </is>
      </c>
      <c r="H42" s="2" t="inlineStr">
        <is>
          <t>Closed</t>
        </is>
      </c>
      <c r="I42" s="5" t="n">
        <v>20000000</v>
      </c>
      <c r="J42" s="2" t="inlineStr"/>
      <c r="K42" s="2" t="inlineStr">
        <is>
          <t>Hamleys Cafe Logo and Guidelines</t>
        </is>
      </c>
    </row>
    <row r="43">
      <c r="A43" s="3" t="inlineStr"/>
      <c r="B43" s="3" t="inlineStr">
        <is>
          <t>Sambhav Group</t>
        </is>
      </c>
      <c r="C43" s="3" t="inlineStr">
        <is>
          <t>Web</t>
        </is>
      </c>
      <c r="D43" s="3" t="inlineStr">
        <is>
          <t>Tan</t>
        </is>
      </c>
      <c r="E43" s="3" t="inlineStr">
        <is>
          <t>Megha</t>
        </is>
      </c>
      <c r="F43" s="3" t="inlineStr">
        <is>
          <t>+91 90049 86631</t>
        </is>
      </c>
      <c r="G43" s="3" t="inlineStr">
        <is>
          <t>media@sambhavgroup.co.in</t>
        </is>
      </c>
      <c r="H43" s="3" t="inlineStr">
        <is>
          <t>Commercials</t>
        </is>
      </c>
      <c r="I43" s="3" t="inlineStr"/>
      <c r="J43" s="3" t="inlineStr"/>
      <c r="K43" s="3" t="inlineStr">
        <is>
          <t>Project was on hold.</t>
        </is>
      </c>
    </row>
    <row r="44">
      <c r="A44" s="2" t="inlineStr"/>
      <c r="B44" s="2" t="inlineStr">
        <is>
          <t>Cool Planet</t>
        </is>
      </c>
      <c r="C44" s="2" t="inlineStr">
        <is>
          <t>Branding</t>
        </is>
      </c>
      <c r="D44" s="2" t="inlineStr">
        <is>
          <t>Ally</t>
        </is>
      </c>
      <c r="E44" s="2" t="inlineStr">
        <is>
          <t>Rizqi</t>
        </is>
      </c>
      <c r="F44" s="2" t="inlineStr">
        <is>
          <t>+94777653936</t>
        </is>
      </c>
      <c r="G44" s="2" t="inlineStr">
        <is>
          <t>qi@coolplanet.lk</t>
        </is>
      </c>
      <c r="H44" s="2" t="inlineStr">
        <is>
          <t>Commercials</t>
        </is>
      </c>
      <c r="I44" s="2" t="inlineStr">
        <is>
          <t>TBD</t>
        </is>
      </c>
      <c r="J44" s="2" t="inlineStr"/>
      <c r="K44" s="2" t="inlineStr"/>
    </row>
    <row r="45">
      <c r="A45" s="3" t="inlineStr"/>
      <c r="B45" s="3" t="inlineStr">
        <is>
          <t>Voltas</t>
        </is>
      </c>
      <c r="C45" s="3" t="inlineStr">
        <is>
          <t>Branding</t>
        </is>
      </c>
      <c r="D45" s="3" t="inlineStr">
        <is>
          <t>Tan</t>
        </is>
      </c>
      <c r="E45" s="3" t="inlineStr">
        <is>
          <t>Gayathri</t>
        </is>
      </c>
      <c r="F45" s="3" t="inlineStr">
        <is>
          <t>+91 96006 56773</t>
        </is>
      </c>
      <c r="G45" s="3" t="inlineStr">
        <is>
          <t>gayathrinarendran@voltas.com</t>
        </is>
      </c>
      <c r="H45" s="3" t="inlineStr">
        <is>
          <t>First Call</t>
        </is>
      </c>
      <c r="I45" s="3" t="inlineStr"/>
      <c r="J45" s="3" t="inlineStr"/>
      <c r="K45" s="3" t="inlineStr">
        <is>
          <t>Client ghosted us.</t>
        </is>
      </c>
    </row>
    <row r="46">
      <c r="A46" s="2" t="inlineStr"/>
      <c r="B46" s="2" t="inlineStr">
        <is>
          <t>A Class Marble</t>
        </is>
      </c>
      <c r="C46" s="2" t="inlineStr">
        <is>
          <t>Web</t>
        </is>
      </c>
      <c r="D46" s="2" t="inlineStr">
        <is>
          <t>Tan</t>
        </is>
      </c>
      <c r="E46" s="2" t="inlineStr">
        <is>
          <t>Shivani</t>
        </is>
      </c>
      <c r="F46" s="2" t="inlineStr">
        <is>
          <t>+91 72900 73527</t>
        </is>
      </c>
      <c r="G46" s="2" t="inlineStr">
        <is>
          <t>branding@aclassmarble.co.in</t>
        </is>
      </c>
      <c r="H46" s="2" t="inlineStr">
        <is>
          <t>Commercials</t>
        </is>
      </c>
      <c r="I46" s="2" t="inlineStr"/>
      <c r="J46" s="2" t="inlineStr"/>
      <c r="K46" s="2" t="inlineStr">
        <is>
          <t>Project on hold</t>
        </is>
      </c>
    </row>
    <row r="47">
      <c r="A47" s="3" t="inlineStr"/>
      <c r="B47" s="3" t="inlineStr">
        <is>
          <t>Dynamic Engineering</t>
        </is>
      </c>
      <c r="C47" s="3" t="inlineStr">
        <is>
          <t>Branding</t>
        </is>
      </c>
      <c r="D47" s="3" t="inlineStr">
        <is>
          <t>Ally</t>
        </is>
      </c>
      <c r="E47" s="3" t="inlineStr">
        <is>
          <t>Sehej</t>
        </is>
      </c>
      <c r="F47" s="3" t="inlineStr">
        <is>
          <t>+91 99305 64146</t>
        </is>
      </c>
      <c r="G47" s="3" t="inlineStr">
        <is>
          <t>info@dynamicengineeringcompany.com</t>
        </is>
      </c>
      <c r="H47" s="3" t="inlineStr">
        <is>
          <t>Didnt work out</t>
        </is>
      </c>
      <c r="I47" s="3" t="inlineStr"/>
      <c r="J47" s="3" t="inlineStr"/>
      <c r="K47" s="3" t="inlineStr">
        <is>
          <t>Cost of 3L</t>
        </is>
      </c>
    </row>
    <row r="48">
      <c r="A48" s="2" t="inlineStr"/>
      <c r="B48" s="2" t="inlineStr">
        <is>
          <t>Rameswaram cafe</t>
        </is>
      </c>
      <c r="C48" s="2" t="inlineStr">
        <is>
          <t>Branding</t>
        </is>
      </c>
      <c r="D48" s="2" t="inlineStr">
        <is>
          <t>Tan</t>
        </is>
      </c>
      <c r="E48" s="2" t="inlineStr">
        <is>
          <t>Pooja</t>
        </is>
      </c>
      <c r="F48" s="2" t="inlineStr">
        <is>
          <t>+91 89281 91088</t>
        </is>
      </c>
      <c r="G48" s="2" t="inlineStr">
        <is>
          <t>pooja.u@seabird.co.in</t>
        </is>
      </c>
      <c r="H48" s="2" t="inlineStr">
        <is>
          <t>Commercials</t>
        </is>
      </c>
      <c r="I48" s="2" t="inlineStr"/>
      <c r="J48" s="2" t="inlineStr"/>
      <c r="K48" s="2" t="inlineStr">
        <is>
          <t>They ghosted us.</t>
        </is>
      </c>
    </row>
    <row r="49">
      <c r="A49" s="3" t="inlineStr"/>
      <c r="B49" s="3" t="inlineStr">
        <is>
          <t>Sony Music</t>
        </is>
      </c>
      <c r="C49" s="3" t="inlineStr">
        <is>
          <t>Branding</t>
        </is>
      </c>
      <c r="D49" s="3" t="inlineStr">
        <is>
          <t>Ally</t>
        </is>
      </c>
      <c r="E49" s="3" t="inlineStr">
        <is>
          <t>Samarth</t>
        </is>
      </c>
      <c r="F49" s="3" t="inlineStr">
        <is>
          <t>+91 77220 36793</t>
        </is>
      </c>
      <c r="G49" s="3" t="inlineStr">
        <is>
          <t>samarth.manocha@sonymusic.com</t>
        </is>
      </c>
      <c r="H49" s="3" t="inlineStr">
        <is>
          <t>Commercials</t>
        </is>
      </c>
      <c r="I49" s="3" t="inlineStr"/>
      <c r="J49" s="3" t="inlineStr"/>
      <c r="K49" s="3" t="inlineStr">
        <is>
          <t>Proposal shared. Client to get back</t>
        </is>
      </c>
    </row>
    <row r="50">
      <c r="A50" s="2" t="inlineStr"/>
      <c r="B50" s="2" t="inlineStr">
        <is>
          <t>ECCO</t>
        </is>
      </c>
      <c r="C50" s="2" t="inlineStr">
        <is>
          <t>Branding</t>
        </is>
      </c>
      <c r="D50" s="2" t="inlineStr">
        <is>
          <t>Ally</t>
        </is>
      </c>
      <c r="E50" s="2" t="inlineStr">
        <is>
          <t>Inza</t>
        </is>
      </c>
      <c r="F50" s="2" t="inlineStr">
        <is>
          <t>+91 96193 40027</t>
        </is>
      </c>
      <c r="G50" s="2" t="inlineStr">
        <is>
          <t>INN@ecco.com</t>
        </is>
      </c>
      <c r="H50" s="2" t="inlineStr">
        <is>
          <t>Commercials</t>
        </is>
      </c>
      <c r="I50" s="2" t="inlineStr"/>
      <c r="J50" s="2" t="inlineStr"/>
      <c r="K50" s="2" t="inlineStr">
        <is>
          <t>Revised proposal discussion to happen basis the deliverables requested by the client.</t>
        </is>
      </c>
    </row>
    <row r="51">
      <c r="A51" s="3" t="inlineStr"/>
      <c r="B51" s="3" t="inlineStr">
        <is>
          <t>Upadhyaya Foundation</t>
        </is>
      </c>
      <c r="C51" s="3" t="inlineStr">
        <is>
          <t>Branding</t>
        </is>
      </c>
      <c r="D51" s="3" t="inlineStr">
        <is>
          <t>Ally</t>
        </is>
      </c>
      <c r="E51" s="3" t="inlineStr">
        <is>
          <t>Preetham</t>
        </is>
      </c>
      <c r="F51" s="3" t="inlineStr">
        <is>
          <t>+91 94837 80058</t>
        </is>
      </c>
      <c r="G51" s="3" t="inlineStr">
        <is>
          <t>preetham@upadhyayafoundation.org</t>
        </is>
      </c>
      <c r="H51" s="3" t="inlineStr">
        <is>
          <t>Commercials</t>
        </is>
      </c>
      <c r="I51" s="3" t="inlineStr"/>
      <c r="J51" s="3" t="inlineStr"/>
      <c r="K51" s="3" t="inlineStr">
        <is>
          <t>Proposal shared with the client.</t>
        </is>
      </c>
    </row>
    <row r="52">
      <c r="A52" s="2" t="inlineStr"/>
      <c r="B52" s="2" t="inlineStr">
        <is>
          <t>Ice Cream Brand</t>
        </is>
      </c>
      <c r="C52" s="2" t="inlineStr">
        <is>
          <t>Branding</t>
        </is>
      </c>
      <c r="D52" s="2" t="inlineStr">
        <is>
          <t>Ally</t>
        </is>
      </c>
      <c r="E52" s="2" t="inlineStr">
        <is>
          <t>Dharmesh</t>
        </is>
      </c>
      <c r="F52" s="2" t="inlineStr">
        <is>
          <t>+91 79074 87352</t>
        </is>
      </c>
      <c r="G52" s="2" t="inlineStr">
        <is>
          <t>hnmpltd@outlook.com</t>
        </is>
      </c>
      <c r="H52" s="2" t="inlineStr">
        <is>
          <t>Didnt work out</t>
        </is>
      </c>
      <c r="I52" s="2" t="inlineStr"/>
      <c r="J52" s="2" t="inlineStr"/>
      <c r="K52" s="2" t="inlineStr">
        <is>
          <t>Budget of 2L</t>
        </is>
      </c>
    </row>
    <row r="53">
      <c r="A53" s="3" t="inlineStr"/>
      <c r="B53" s="3" t="inlineStr">
        <is>
          <t>Dainik Bhaskar Pet Care</t>
        </is>
      </c>
      <c r="C53" s="3" t="inlineStr">
        <is>
          <t>Branding</t>
        </is>
      </c>
      <c r="D53" s="3" t="inlineStr">
        <is>
          <t>Tan</t>
        </is>
      </c>
      <c r="E53" s="3" t="inlineStr">
        <is>
          <t>Diva</t>
        </is>
      </c>
      <c r="F53" s="3" t="inlineStr">
        <is>
          <t>-</t>
        </is>
      </c>
      <c r="G53" s="3" t="inlineStr">
        <is>
          <t>diva@dbdigital.in</t>
        </is>
      </c>
      <c r="H53" s="3" t="inlineStr">
        <is>
          <t>First Call</t>
        </is>
      </c>
      <c r="I53" s="3" t="inlineStr"/>
      <c r="J53" s="3" t="inlineStr"/>
      <c r="K53" s="3" t="inlineStr">
        <is>
          <t>Ghosted us because of commercials I guess</t>
        </is>
      </c>
    </row>
    <row r="54">
      <c r="A54" s="2" t="inlineStr"/>
      <c r="B54" s="2" t="inlineStr">
        <is>
          <t>Dove</t>
        </is>
      </c>
      <c r="C54" s="2" t="inlineStr">
        <is>
          <t>Branding</t>
        </is>
      </c>
      <c r="D54" s="2" t="inlineStr">
        <is>
          <t>Tan</t>
        </is>
      </c>
      <c r="E54" s="2" t="inlineStr">
        <is>
          <t>Manasee</t>
        </is>
      </c>
      <c r="F54" s="2" t="inlineStr">
        <is>
          <t>+91 98676 42764</t>
        </is>
      </c>
      <c r="G54" s="2" t="inlineStr">
        <is>
          <t>manasee.naik@unilever.com</t>
        </is>
      </c>
      <c r="H54" s="2" t="inlineStr">
        <is>
          <t>Closed</t>
        </is>
      </c>
      <c r="I54" s="5" t="n">
        <v>15000000</v>
      </c>
      <c r="J54" s="2" t="inlineStr"/>
      <c r="K54" s="2" t="inlineStr">
        <is>
          <t>Project completed</t>
        </is>
      </c>
    </row>
    <row r="55">
      <c r="A55" s="3" t="inlineStr"/>
      <c r="B55" s="3" t="inlineStr">
        <is>
          <t>Pears</t>
        </is>
      </c>
      <c r="C55" s="3" t="inlineStr">
        <is>
          <t>Branding</t>
        </is>
      </c>
      <c r="D55" s="3" t="inlineStr">
        <is>
          <t>Tan</t>
        </is>
      </c>
      <c r="E55" s="3" t="inlineStr">
        <is>
          <t>Manasee</t>
        </is>
      </c>
      <c r="F55" s="3" t="inlineStr">
        <is>
          <t>+91 98676 42764</t>
        </is>
      </c>
      <c r="G55" s="3" t="inlineStr">
        <is>
          <t>manasee.naik@unilever.com</t>
        </is>
      </c>
      <c r="H55" s="3" t="inlineStr">
        <is>
          <t>Closed</t>
        </is>
      </c>
      <c r="I55" s="4" t="n">
        <v>15000000</v>
      </c>
      <c r="J55" s="3" t="inlineStr"/>
      <c r="K55" s="3" t="inlineStr">
        <is>
          <t>Project completed</t>
        </is>
      </c>
    </row>
    <row r="56">
      <c r="A56" s="2" t="inlineStr"/>
      <c r="B56" s="2" t="inlineStr">
        <is>
          <t>Everfruit</t>
        </is>
      </c>
      <c r="C56" s="2" t="inlineStr">
        <is>
          <t>Branding</t>
        </is>
      </c>
      <c r="D56" s="2" t="inlineStr">
        <is>
          <t>Ally</t>
        </is>
      </c>
      <c r="E56" s="2" t="inlineStr">
        <is>
          <t>Piyush</t>
        </is>
      </c>
      <c r="F56" s="2" t="inlineStr">
        <is>
          <t>+91 95616 21164</t>
        </is>
      </c>
      <c r="G56" s="2" t="inlineStr">
        <is>
          <t>piyush.parakh@everfruit.in</t>
        </is>
      </c>
      <c r="H56" s="2" t="inlineStr">
        <is>
          <t>Commercials</t>
        </is>
      </c>
      <c r="I56" s="2" t="inlineStr"/>
      <c r="J56" s="2" t="inlineStr"/>
      <c r="K56" s="2" t="inlineStr">
        <is>
          <t>Proposal shared with the client.</t>
        </is>
      </c>
    </row>
    <row r="57">
      <c r="A57" s="3" t="inlineStr"/>
      <c r="B57" s="3" t="inlineStr">
        <is>
          <t>Hindustan Times</t>
        </is>
      </c>
      <c r="C57" s="3" t="inlineStr">
        <is>
          <t>Branding</t>
        </is>
      </c>
      <c r="D57" s="3" t="inlineStr">
        <is>
          <t>Ally</t>
        </is>
      </c>
      <c r="E57" s="3" t="inlineStr">
        <is>
          <t>Srashti</t>
        </is>
      </c>
      <c r="F57" s="3" t="inlineStr">
        <is>
          <t>+91 87178 78891</t>
        </is>
      </c>
      <c r="G57" s="3" t="inlineStr">
        <is>
          <t>srashti.jain@hindustantimes.com</t>
        </is>
      </c>
      <c r="H57" s="3" t="inlineStr">
        <is>
          <t>Didnt work out</t>
        </is>
      </c>
      <c r="I57" s="3" t="inlineStr"/>
      <c r="J57" s="3" t="inlineStr"/>
      <c r="K57" s="3" t="inlineStr">
        <is>
          <t>Badge and Trophy design costing shared with the client.</t>
        </is>
      </c>
    </row>
    <row r="58">
      <c r="A58" s="2" t="inlineStr"/>
      <c r="B58" s="2" t="inlineStr">
        <is>
          <t>Big FM</t>
        </is>
      </c>
      <c r="C58" s="2" t="inlineStr">
        <is>
          <t>Branding</t>
        </is>
      </c>
      <c r="D58" s="2" t="inlineStr">
        <is>
          <t>Ally</t>
        </is>
      </c>
      <c r="E58" s="2" t="inlineStr">
        <is>
          <t>Soha</t>
        </is>
      </c>
      <c r="F58" s="2" t="inlineStr">
        <is>
          <t>+91 99905 90444</t>
        </is>
      </c>
      <c r="G58" s="2" t="inlineStr">
        <is>
          <t>akanksha.goel@weinvert.com</t>
        </is>
      </c>
      <c r="H58" s="2" t="inlineStr">
        <is>
          <t>Commercials</t>
        </is>
      </c>
      <c r="I58" s="2" t="inlineStr"/>
      <c r="J58" s="2" t="inlineStr"/>
      <c r="K58" s="2" t="inlineStr">
        <is>
          <t>RFP shared with the client.</t>
        </is>
      </c>
    </row>
    <row r="59">
      <c r="A59" s="3" t="inlineStr"/>
      <c r="B59" s="3" t="inlineStr">
        <is>
          <t>Amaya</t>
        </is>
      </c>
      <c r="C59" s="3" t="inlineStr">
        <is>
          <t>Web</t>
        </is>
      </c>
      <c r="D59" s="3" t="inlineStr">
        <is>
          <t>Ally</t>
        </is>
      </c>
      <c r="E59" s="3" t="inlineStr">
        <is>
          <t>Akshi</t>
        </is>
      </c>
      <c r="F59" s="3" t="inlineStr">
        <is>
          <t>+91 96431 22358</t>
        </is>
      </c>
      <c r="G59" s="3" t="inlineStr">
        <is>
          <t>aakshi.katyal@gmail.com</t>
        </is>
      </c>
      <c r="H59" s="3" t="inlineStr">
        <is>
          <t>Commercials</t>
        </is>
      </c>
      <c r="I59" s="3" t="inlineStr"/>
      <c r="J59" s="3" t="inlineStr"/>
      <c r="K59" s="3" t="inlineStr">
        <is>
          <t>Proposal and pitch for the 24th October.</t>
        </is>
      </c>
    </row>
    <row r="60">
      <c r="A60" s="2" t="inlineStr"/>
      <c r="B60" s="2" t="inlineStr">
        <is>
          <t>Peruh</t>
        </is>
      </c>
      <c r="C60" s="2" t="inlineStr">
        <is>
          <t>Branding</t>
        </is>
      </c>
      <c r="D60" s="2" t="inlineStr">
        <is>
          <t>Tan</t>
        </is>
      </c>
      <c r="E60" s="2" t="inlineStr">
        <is>
          <t>Prerna</t>
        </is>
      </c>
      <c r="F60" s="2" t="inlineStr"/>
      <c r="G60" s="2" t="inlineStr">
        <is>
          <t>prerna@peruhworld.com</t>
        </is>
      </c>
      <c r="H60" s="2" t="inlineStr">
        <is>
          <t>First Call</t>
        </is>
      </c>
      <c r="I60" s="2" t="inlineStr"/>
      <c r="J60" s="2" t="inlineStr"/>
      <c r="K60" s="2" t="inlineStr">
        <is>
          <t>Ghosted us</t>
        </is>
      </c>
    </row>
    <row r="61">
      <c r="A61" s="3" t="inlineStr"/>
      <c r="B61" s="3" t="inlineStr">
        <is>
          <t>Pump Manufacturer</t>
        </is>
      </c>
      <c r="C61" s="3" t="inlineStr">
        <is>
          <t>Branding</t>
        </is>
      </c>
      <c r="D61" s="3" t="inlineStr">
        <is>
          <t>Ally</t>
        </is>
      </c>
      <c r="E61" s="3" t="inlineStr">
        <is>
          <t>Nik</t>
        </is>
      </c>
      <c r="F61" s="3" t="inlineStr">
        <is>
          <t>+3468528114</t>
        </is>
      </c>
      <c r="G61" s="3" t="inlineStr">
        <is>
          <t>nikp09528@gmail.com</t>
        </is>
      </c>
      <c r="H61" s="3" t="inlineStr">
        <is>
          <t>Didnt work out</t>
        </is>
      </c>
      <c r="I61" s="3" t="inlineStr"/>
      <c r="J61" s="3" t="inlineStr"/>
      <c r="K61" s="3" t="inlineStr">
        <is>
          <t>CTR on the proposal shared</t>
        </is>
      </c>
    </row>
    <row r="62">
      <c r="A62" s="2" t="inlineStr"/>
      <c r="B62" s="2" t="inlineStr">
        <is>
          <t>Jawa</t>
        </is>
      </c>
      <c r="C62" s="2" t="inlineStr">
        <is>
          <t>Branding</t>
        </is>
      </c>
      <c r="D62" s="2" t="inlineStr">
        <is>
          <t>Ally</t>
        </is>
      </c>
      <c r="E62" s="2" t="inlineStr">
        <is>
          <t>Samir Gokhale</t>
        </is>
      </c>
      <c r="F62" s="2" t="inlineStr">
        <is>
          <t>+91 99210 03800</t>
        </is>
      </c>
      <c r="G62" s="2" t="inlineStr">
        <is>
          <t>gokhale.samir@classiclegends.com</t>
        </is>
      </c>
      <c r="H62" s="2" t="inlineStr">
        <is>
          <t>First Call</t>
        </is>
      </c>
      <c r="I62" s="2" t="inlineStr"/>
      <c r="J62" s="2" t="inlineStr"/>
      <c r="K62" s="2" t="inlineStr">
        <is>
          <t>Blueprint to be shared with the client basis the last pitch</t>
        </is>
      </c>
    </row>
    <row r="63">
      <c r="A63" s="3" t="inlineStr"/>
      <c r="B63" s="3" t="inlineStr">
        <is>
          <t>Volfsbane</t>
        </is>
      </c>
      <c r="C63" s="3" t="inlineStr">
        <is>
          <t>Web</t>
        </is>
      </c>
      <c r="D63" s="3" t="inlineStr">
        <is>
          <t>Ally</t>
        </is>
      </c>
      <c r="E63" s="3" t="inlineStr">
        <is>
          <t>Mansi</t>
        </is>
      </c>
      <c r="F63" s="3" t="inlineStr"/>
      <c r="G63" s="3" t="inlineStr">
        <is>
          <t>mansi@volfsbane.com</t>
        </is>
      </c>
      <c r="H63" s="3" t="inlineStr">
        <is>
          <t>Commercials</t>
        </is>
      </c>
      <c r="I63" s="3" t="inlineStr"/>
      <c r="J63" s="3" t="inlineStr"/>
      <c r="K63" s="3" t="inlineStr">
        <is>
          <t>Website branding proposal shared. Awaiting response.</t>
        </is>
      </c>
    </row>
    <row r="64">
      <c r="A64" s="2" t="inlineStr"/>
      <c r="B64" s="2" t="inlineStr">
        <is>
          <t>Haldirams</t>
        </is>
      </c>
      <c r="C64" s="2" t="inlineStr">
        <is>
          <t>Branding</t>
        </is>
      </c>
      <c r="D64" s="2" t="inlineStr">
        <is>
          <t>Ally</t>
        </is>
      </c>
      <c r="E64" s="2" t="inlineStr">
        <is>
          <t>Bhagyashree</t>
        </is>
      </c>
      <c r="F64" s="2" t="inlineStr">
        <is>
          <t>+91 96193 42495</t>
        </is>
      </c>
      <c r="G64" s="2" t="inlineStr">
        <is>
          <t>bhagyashree.paralkar@haldirams.com</t>
        </is>
      </c>
      <c r="H64" s="2" t="inlineStr">
        <is>
          <t>Didnt work out</t>
        </is>
      </c>
      <c r="I64" s="2" t="inlineStr"/>
      <c r="J64" s="2" t="inlineStr"/>
      <c r="K64" s="2" t="inlineStr">
        <is>
          <t>Proposal to be shared post closure on social media</t>
        </is>
      </c>
    </row>
    <row r="65">
      <c r="A65" s="3" t="inlineStr"/>
      <c r="B65" s="3" t="inlineStr">
        <is>
          <t>Asian Star</t>
        </is>
      </c>
      <c r="C65" s="3" t="inlineStr">
        <is>
          <t>Branding</t>
        </is>
      </c>
      <c r="D65" s="3" t="inlineStr">
        <is>
          <t>Ally</t>
        </is>
      </c>
      <c r="E65" s="3" t="inlineStr">
        <is>
          <t>Ryan</t>
        </is>
      </c>
      <c r="F65" s="3" t="inlineStr">
        <is>
          <t>+91 98205 07257</t>
        </is>
      </c>
      <c r="G65" s="3" t="inlineStr">
        <is>
          <t>ryan@asianstargroup.com</t>
        </is>
      </c>
      <c r="H65" s="3" t="inlineStr">
        <is>
          <t>First Call</t>
        </is>
      </c>
      <c r="I65" s="3" t="inlineStr"/>
      <c r="J65" s="3" t="inlineStr"/>
      <c r="K65" s="3" t="inlineStr">
        <is>
          <t>CTR back on the proposal shared</t>
        </is>
      </c>
    </row>
    <row r="66">
      <c r="A66" s="2" t="inlineStr"/>
      <c r="B66" s="2" t="inlineStr">
        <is>
          <t>Samarya</t>
        </is>
      </c>
      <c r="C66" s="2" t="inlineStr">
        <is>
          <t>Branding</t>
        </is>
      </c>
      <c r="D66" s="2" t="inlineStr">
        <is>
          <t>Ally</t>
        </is>
      </c>
      <c r="E66" s="2" t="inlineStr">
        <is>
          <t>Aryan</t>
        </is>
      </c>
      <c r="F66" s="2" t="inlineStr">
        <is>
          <t>+91 91378 09177</t>
        </is>
      </c>
      <c r="G66" s="2" t="inlineStr">
        <is>
          <t>aryan.ruia@samaryamedia.com</t>
        </is>
      </c>
      <c r="H66" s="2" t="inlineStr">
        <is>
          <t>Commercials</t>
        </is>
      </c>
      <c r="I66" s="2" t="inlineStr"/>
      <c r="J66" s="2" t="inlineStr"/>
      <c r="K66" s="2" t="inlineStr">
        <is>
          <t>Logo Design Proposal shared with the client.</t>
        </is>
      </c>
    </row>
    <row r="67">
      <c r="A67" s="3" t="inlineStr"/>
      <c r="B67" s="3" t="inlineStr">
        <is>
          <t>Seedwater</t>
        </is>
      </c>
      <c r="C67" s="3" t="inlineStr">
        <is>
          <t>Branding</t>
        </is>
      </c>
      <c r="D67" s="3" t="inlineStr">
        <is>
          <t>Ally</t>
        </is>
      </c>
      <c r="E67" s="3" t="inlineStr">
        <is>
          <t>Vivek</t>
        </is>
      </c>
      <c r="F67" s="3" t="inlineStr">
        <is>
          <t>+91 98197 11218</t>
        </is>
      </c>
      <c r="G67" s="3" t="inlineStr">
        <is>
          <t>vivek@seedwtr.com</t>
        </is>
      </c>
      <c r="H67" s="3" t="inlineStr">
        <is>
          <t>Commercials</t>
        </is>
      </c>
      <c r="I67" s="3" t="inlineStr"/>
      <c r="J67" s="3" t="inlineStr"/>
      <c r="K67" s="3" t="inlineStr">
        <is>
          <t>CTR on the proposal shared</t>
        </is>
      </c>
    </row>
    <row r="68">
      <c r="A68" s="2" t="inlineStr"/>
      <c r="B68" s="2" t="inlineStr">
        <is>
          <t>Quartroloom</t>
        </is>
      </c>
      <c r="C68" s="2" t="inlineStr">
        <is>
          <t>Branding</t>
        </is>
      </c>
      <c r="D68" s="2" t="inlineStr">
        <is>
          <t>Ally</t>
        </is>
      </c>
      <c r="E68" s="2" t="inlineStr">
        <is>
          <t>Avase</t>
        </is>
      </c>
      <c r="F68" s="2" t="inlineStr">
        <is>
          <t>+91 88676 58800</t>
        </is>
      </c>
      <c r="G68" s="2" t="inlineStr">
        <is>
          <t>avase@quartoloom.com</t>
        </is>
      </c>
      <c r="H68" s="2" t="inlineStr">
        <is>
          <t>Commercials</t>
        </is>
      </c>
      <c r="I68" s="2" t="inlineStr"/>
      <c r="J68" s="2" t="inlineStr"/>
      <c r="K68" s="2" t="inlineStr">
        <is>
          <t>CTR on the proposal shared</t>
        </is>
      </c>
    </row>
    <row r="69">
      <c r="A69" s="3" t="inlineStr"/>
      <c r="B69" s="3" t="inlineStr">
        <is>
          <t>Rajhem Jewellers</t>
        </is>
      </c>
      <c r="C69" s="3" t="inlineStr">
        <is>
          <t>Branding</t>
        </is>
      </c>
      <c r="D69" s="3" t="inlineStr">
        <is>
          <t>Ally</t>
        </is>
      </c>
      <c r="E69" s="3" t="inlineStr">
        <is>
          <t>Ritik</t>
        </is>
      </c>
      <c r="F69" s="3" t="inlineStr">
        <is>
          <t>+91 95153 11755</t>
        </is>
      </c>
      <c r="G69" s="3" t="inlineStr">
        <is>
          <t>ritikjain23112@gmail.com</t>
        </is>
      </c>
      <c r="H69" s="3" t="inlineStr">
        <is>
          <t>Commercials</t>
        </is>
      </c>
      <c r="I69" s="3" t="inlineStr"/>
      <c r="J69" s="3" t="inlineStr"/>
      <c r="K69" s="3" t="inlineStr">
        <is>
          <t>CTR on the proposal shared</t>
        </is>
      </c>
    </row>
    <row r="70">
      <c r="A70" s="2" t="inlineStr"/>
      <c r="B70" s="2" t="inlineStr">
        <is>
          <t>Wellness Brand</t>
        </is>
      </c>
      <c r="C70" s="2" t="inlineStr">
        <is>
          <t>Branding</t>
        </is>
      </c>
      <c r="D70" s="2" t="inlineStr">
        <is>
          <t>Ally</t>
        </is>
      </c>
      <c r="E70" s="2" t="inlineStr">
        <is>
          <t>Ruchi</t>
        </is>
      </c>
      <c r="F70" s="2" t="inlineStr">
        <is>
          <t>+91 73508 89295</t>
        </is>
      </c>
      <c r="G70" s="2" t="inlineStr">
        <is>
          <t>ruchi.pandit2008@gmail.com</t>
        </is>
      </c>
      <c r="H70" s="2" t="inlineStr">
        <is>
          <t>Commercials</t>
        </is>
      </c>
      <c r="I70" s="2" t="inlineStr"/>
      <c r="J70" s="2" t="inlineStr"/>
      <c r="K70" s="2" t="inlineStr">
        <is>
          <t>Client will get back with the numbers they want to close on today.</t>
        </is>
      </c>
    </row>
    <row r="71">
      <c r="A71" s="3" t="inlineStr"/>
      <c r="B71" s="3" t="inlineStr">
        <is>
          <t>O Source Global</t>
        </is>
      </c>
      <c r="C71" s="3" t="inlineStr">
        <is>
          <t>Web</t>
        </is>
      </c>
      <c r="D71" s="3" t="inlineStr">
        <is>
          <t>Tan</t>
        </is>
      </c>
      <c r="E71" s="3" t="inlineStr">
        <is>
          <t>Durvanka</t>
        </is>
      </c>
      <c r="F71" s="3" t="inlineStr">
        <is>
          <t>+91 96194 33680</t>
        </is>
      </c>
      <c r="G71" s="3" t="inlineStr">
        <is>
          <t>durvanka.murkute@osourceglobal.com</t>
        </is>
      </c>
      <c r="H71" s="3" t="inlineStr">
        <is>
          <t>Commercials</t>
        </is>
      </c>
      <c r="I71" s="3" t="inlineStr"/>
      <c r="J71" s="3" t="inlineStr"/>
      <c r="K71" s="3" t="inlineStr">
        <is>
          <t>Commercials didn't work</t>
        </is>
      </c>
    </row>
    <row r="72">
      <c r="A72" s="2" t="inlineStr"/>
      <c r="B72" s="2" t="inlineStr">
        <is>
          <t>EuroKids</t>
        </is>
      </c>
      <c r="C72" s="2" t="inlineStr">
        <is>
          <t>Web</t>
        </is>
      </c>
      <c r="D72" s="2" t="inlineStr">
        <is>
          <t>Tan</t>
        </is>
      </c>
      <c r="E72" s="2" t="inlineStr">
        <is>
          <t>Rakesh</t>
        </is>
      </c>
      <c r="F72" s="2" t="inlineStr">
        <is>
          <t>+91 97737 73230</t>
        </is>
      </c>
      <c r="G72" s="2" t="inlineStr">
        <is>
          <t>rakesh.baikar@lighthouse-learning.com</t>
        </is>
      </c>
      <c r="H72" s="2" t="inlineStr">
        <is>
          <t>Commercials</t>
        </is>
      </c>
      <c r="I72" s="2" t="inlineStr"/>
      <c r="J72" s="2" t="inlineStr"/>
      <c r="K72" s="2" t="inlineStr">
        <is>
          <t>Ghosted us</t>
        </is>
      </c>
    </row>
    <row r="73">
      <c r="A73" s="3" t="inlineStr"/>
      <c r="B73" s="3" t="inlineStr">
        <is>
          <t>Sanjeev (Healthy Snacks)</t>
        </is>
      </c>
      <c r="C73" s="3" t="inlineStr">
        <is>
          <t>Branding</t>
        </is>
      </c>
      <c r="D73" s="3" t="inlineStr">
        <is>
          <t>Ally</t>
        </is>
      </c>
      <c r="E73" s="3" t="inlineStr">
        <is>
          <t>Sanjeev</t>
        </is>
      </c>
      <c r="F73" s="3" t="inlineStr">
        <is>
          <t>+91 98153 38888</t>
        </is>
      </c>
      <c r="G73" s="3" t="inlineStr">
        <is>
          <t>sb@sbhind.com</t>
        </is>
      </c>
      <c r="H73" s="3" t="inlineStr">
        <is>
          <t>First Call</t>
        </is>
      </c>
      <c r="I73" s="3" t="inlineStr"/>
      <c r="J73" s="3" t="inlineStr"/>
      <c r="K73" s="3" t="inlineStr">
        <is>
          <t>Proposal under review.</t>
        </is>
      </c>
    </row>
    <row r="74">
      <c r="A74" s="2" t="inlineStr"/>
      <c r="B74" s="2" t="inlineStr">
        <is>
          <t>Worthvial</t>
        </is>
      </c>
      <c r="C74" s="2" t="inlineStr">
        <is>
          <t>Branding</t>
        </is>
      </c>
      <c r="D74" s="2" t="inlineStr">
        <is>
          <t>Ally</t>
        </is>
      </c>
      <c r="E74" s="2" t="inlineStr">
        <is>
          <t>Rohit</t>
        </is>
      </c>
      <c r="F74" s="2" t="inlineStr">
        <is>
          <t>+91 90132 32346</t>
        </is>
      </c>
      <c r="G74" s="2" t="inlineStr">
        <is>
          <t>rohit@worthvial.com</t>
        </is>
      </c>
      <c r="H74" s="2" t="inlineStr">
        <is>
          <t>Commercials</t>
        </is>
      </c>
      <c r="I74" s="2" t="inlineStr"/>
      <c r="J74" s="2" t="inlineStr"/>
      <c r="K74" s="2" t="inlineStr">
        <is>
          <t>Client will get back with the numbers they want to close on today.</t>
        </is>
      </c>
    </row>
    <row r="75">
      <c r="A75" s="3" t="inlineStr"/>
      <c r="B75" s="3" t="inlineStr">
        <is>
          <t>Bellagio</t>
        </is>
      </c>
      <c r="C75" s="3" t="inlineStr">
        <is>
          <t>Branding</t>
        </is>
      </c>
      <c r="D75" s="3" t="inlineStr">
        <is>
          <t>Ally</t>
        </is>
      </c>
      <c r="E75" s="3" t="inlineStr">
        <is>
          <t>Arya</t>
        </is>
      </c>
      <c r="F75" s="3" t="inlineStr">
        <is>
          <t>+91 90132 32346</t>
        </is>
      </c>
      <c r="G75" s="3" t="inlineStr">
        <is>
          <t>aryaadak2000@gmail.com</t>
        </is>
      </c>
      <c r="H75" s="3" t="inlineStr">
        <is>
          <t>Commercials</t>
        </is>
      </c>
      <c r="I75" s="3" t="inlineStr"/>
      <c r="J75" s="3" t="inlineStr"/>
      <c r="K75" s="3" t="inlineStr">
        <is>
          <t>Client meeting on the 12th Jan, 2026</t>
        </is>
      </c>
    </row>
    <row r="76">
      <c r="A76" s="2" t="inlineStr"/>
      <c r="B76" s="2" t="inlineStr">
        <is>
          <t>Granotone</t>
        </is>
      </c>
      <c r="C76" s="2" t="inlineStr">
        <is>
          <t>Branding</t>
        </is>
      </c>
      <c r="D76" s="2" t="inlineStr">
        <is>
          <t>Tan</t>
        </is>
      </c>
      <c r="E76" s="2" t="inlineStr">
        <is>
          <t>Sarthak</t>
        </is>
      </c>
      <c r="F76" s="2" t="inlineStr">
        <is>
          <t>+91 97600 32125</t>
        </is>
      </c>
      <c r="G76" s="2" t="inlineStr">
        <is>
          <t>sarthak@granotone.com</t>
        </is>
      </c>
      <c r="H76" s="2" t="inlineStr">
        <is>
          <t>Commercials</t>
        </is>
      </c>
      <c r="I76" s="2" t="inlineStr"/>
      <c r="J76" s="2" t="inlineStr"/>
      <c r="K76" s="2" t="inlineStr">
        <is>
          <t>Ghosted us.</t>
        </is>
      </c>
    </row>
    <row r="77">
      <c r="A77" s="3" t="inlineStr"/>
      <c r="B77" s="3" t="inlineStr">
        <is>
          <t>Nuvoco</t>
        </is>
      </c>
      <c r="C77" s="3" t="inlineStr">
        <is>
          <t>Branding</t>
        </is>
      </c>
      <c r="D77" s="3" t="inlineStr">
        <is>
          <t>Ally</t>
        </is>
      </c>
      <c r="E77" s="3" t="inlineStr">
        <is>
          <t>Nikhil</t>
        </is>
      </c>
      <c r="F77" s="3" t="inlineStr">
        <is>
          <t>+91 97020 36462</t>
        </is>
      </c>
      <c r="G77" s="3" t="inlineStr">
        <is>
          <t>Nikhil.Sukthankar@nuvoco.com</t>
        </is>
      </c>
      <c r="H77" s="3" t="inlineStr">
        <is>
          <t>Pitch</t>
        </is>
      </c>
      <c r="I77" s="3" t="inlineStr"/>
      <c r="J77" s="3" t="inlineStr"/>
      <c r="K77" s="3" t="inlineStr">
        <is>
          <t>Pitch done. RFQ will be shared with us this week.</t>
        </is>
      </c>
    </row>
    <row r="78">
      <c r="A78" s="2" t="inlineStr"/>
      <c r="B78" s="2" t="inlineStr">
        <is>
          <t>Kids Infotainment</t>
        </is>
      </c>
      <c r="C78" s="2" t="inlineStr">
        <is>
          <t>Branding</t>
        </is>
      </c>
      <c r="D78" s="2" t="inlineStr">
        <is>
          <t>Tan</t>
        </is>
      </c>
      <c r="E78" s="2" t="inlineStr">
        <is>
          <t>Mazahir</t>
        </is>
      </c>
      <c r="F78" s="2" t="inlineStr">
        <is>
          <t>+91 90221 22928</t>
        </is>
      </c>
      <c r="G78" s="2" t="inlineStr"/>
      <c r="H78" s="2" t="inlineStr">
        <is>
          <t>First Call</t>
        </is>
      </c>
      <c r="I78" s="2" t="inlineStr"/>
      <c r="J78" s="2" t="inlineStr"/>
      <c r="K78" s="2" t="inlineStr">
        <is>
          <t>He ghosted us</t>
        </is>
      </c>
    </row>
    <row r="79">
      <c r="A79" s="3" t="inlineStr"/>
      <c r="B79" s="3" t="inlineStr">
        <is>
          <t>Zune Clothing</t>
        </is>
      </c>
      <c r="C79" s="3" t="inlineStr">
        <is>
          <t>Branding</t>
        </is>
      </c>
      <c r="D79" s="3" t="inlineStr">
        <is>
          <t>Tan</t>
        </is>
      </c>
      <c r="E79" s="3" t="inlineStr">
        <is>
          <t>Shivam</t>
        </is>
      </c>
      <c r="F79" s="3" t="inlineStr">
        <is>
          <t>+91 75056 43933</t>
        </is>
      </c>
      <c r="G79" s="3" t="inlineStr">
        <is>
          <t>shivamyadav9258@gmail.com</t>
        </is>
      </c>
      <c r="H79" s="3" t="inlineStr">
        <is>
          <t>Didnt work out</t>
        </is>
      </c>
      <c r="I79" s="3" t="inlineStr"/>
      <c r="J79" s="3" t="inlineStr"/>
      <c r="K79" s="3" t="inlineStr">
        <is>
          <t>Had very low budgets, 2L for branding.</t>
        </is>
      </c>
    </row>
    <row r="80">
      <c r="A80" s="2" t="inlineStr"/>
      <c r="B80" s="2" t="inlineStr">
        <is>
          <t>Luxury Bags</t>
        </is>
      </c>
      <c r="C80" s="2" t="inlineStr">
        <is>
          <t>Branding</t>
        </is>
      </c>
      <c r="D80" s="2" t="inlineStr">
        <is>
          <t>Ally</t>
        </is>
      </c>
      <c r="E80" s="2" t="inlineStr">
        <is>
          <t>Ayesha</t>
        </is>
      </c>
      <c r="F80" s="2" t="inlineStr">
        <is>
          <t>+91 96190 77701</t>
        </is>
      </c>
      <c r="G80" s="2" t="inlineStr">
        <is>
          <t>NA</t>
        </is>
      </c>
      <c r="H80" s="2" t="inlineStr">
        <is>
          <t>Didnt work out</t>
        </is>
      </c>
      <c r="I80" s="2" t="inlineStr"/>
      <c r="J80" s="2" t="inlineStr"/>
      <c r="K80" s="2" t="inlineStr">
        <is>
          <t>Low budget client.</t>
        </is>
      </c>
    </row>
    <row r="81">
      <c r="A81" s="3" t="inlineStr"/>
      <c r="B81" s="3" t="inlineStr">
        <is>
          <t>HOS Global Foods</t>
        </is>
      </c>
      <c r="C81" s="3" t="inlineStr">
        <is>
          <t>Branding</t>
        </is>
      </c>
      <c r="D81" s="3" t="inlineStr">
        <is>
          <t>Ally</t>
        </is>
      </c>
      <c r="E81" s="3" t="inlineStr">
        <is>
          <t>Shruti</t>
        </is>
      </c>
      <c r="F81" s="3" t="inlineStr">
        <is>
          <t>+91 88794 33104</t>
        </is>
      </c>
      <c r="G81" s="3" t="inlineStr">
        <is>
          <t>skulkarni@houseofspicesindia.com</t>
        </is>
      </c>
      <c r="H81" s="3" t="inlineStr">
        <is>
          <t>Didnt work out</t>
        </is>
      </c>
      <c r="I81" s="3" t="inlineStr"/>
      <c r="J81" s="3" t="inlineStr"/>
      <c r="K81" s="3" t="inlineStr">
        <is>
          <t>Client has mentioned they will work on future projects with us.</t>
        </is>
      </c>
    </row>
    <row r="82">
      <c r="A82" s="2" t="inlineStr"/>
      <c r="B82" s="2" t="inlineStr">
        <is>
          <t>Els Hair</t>
        </is>
      </c>
      <c r="C82" s="2" t="inlineStr">
        <is>
          <t>Web</t>
        </is>
      </c>
      <c r="D82" s="2" t="inlineStr">
        <is>
          <t>Ally</t>
        </is>
      </c>
      <c r="E82" s="2" t="inlineStr">
        <is>
          <t>Simran</t>
        </is>
      </c>
      <c r="F82" s="2" t="inlineStr">
        <is>
          <t>+91 83830 08876</t>
        </is>
      </c>
      <c r="G82" s="2" t="inlineStr">
        <is>
          <t>work.skataria@gmail.com</t>
        </is>
      </c>
      <c r="H82" s="2" t="inlineStr">
        <is>
          <t>Didnt work out</t>
        </is>
      </c>
      <c r="I82" s="2" t="inlineStr"/>
      <c r="J82" s="2" t="inlineStr"/>
      <c r="K82" s="2" t="inlineStr">
        <is>
          <t>No response post proposal for website revamp shared with the client.</t>
        </is>
      </c>
    </row>
    <row r="83">
      <c r="A83" s="3" t="inlineStr"/>
      <c r="B83" s="3" t="inlineStr">
        <is>
          <t>Ageasy</t>
        </is>
      </c>
      <c r="C83" s="3" t="inlineStr">
        <is>
          <t>Branding</t>
        </is>
      </c>
      <c r="D83" s="3" t="inlineStr">
        <is>
          <t>Ally</t>
        </is>
      </c>
      <c r="E83" s="3" t="inlineStr">
        <is>
          <t>Arushi</t>
        </is>
      </c>
      <c r="F83" s="3" t="inlineStr">
        <is>
          <t>+91 90134 92656</t>
        </is>
      </c>
      <c r="G83" s="3" t="inlineStr">
        <is>
          <t>arushi.aggarwal@antaraseniorcare.com</t>
        </is>
      </c>
      <c r="H83" s="3" t="inlineStr">
        <is>
          <t>Closed</t>
        </is>
      </c>
      <c r="I83" s="4" t="n">
        <v>40000000</v>
      </c>
      <c r="J83" s="3" t="inlineStr"/>
      <c r="K83" s="3" t="inlineStr">
        <is>
          <t>Proposal shared with the client for review and approval</t>
        </is>
      </c>
    </row>
    <row r="84">
      <c r="A84" s="2" t="inlineStr"/>
      <c r="B84" s="2" t="inlineStr">
        <is>
          <t>Cello</t>
        </is>
      </c>
      <c r="C84" s="2" t="inlineStr">
        <is>
          <t>Branding</t>
        </is>
      </c>
      <c r="D84" s="2" t="inlineStr">
        <is>
          <t>Ally</t>
        </is>
      </c>
      <c r="E84" s="2" t="inlineStr">
        <is>
          <t>Suresh</t>
        </is>
      </c>
      <c r="F84" s="2" t="inlineStr"/>
      <c r="G84" s="2" t="inlineStr">
        <is>
          <t>suresh.amarnani@celloworld.com</t>
        </is>
      </c>
      <c r="H84" s="2" t="inlineStr">
        <is>
          <t>Commercials</t>
        </is>
      </c>
      <c r="I84" s="2" t="inlineStr"/>
      <c r="J84" s="2" t="inlineStr"/>
      <c r="K84" s="2" t="inlineStr">
        <is>
          <t>Proposal has been shared. No response.</t>
        </is>
      </c>
    </row>
    <row r="85">
      <c r="A85" s="3" t="inlineStr"/>
      <c r="B85" s="3" t="inlineStr">
        <is>
          <t>Inorbit</t>
        </is>
      </c>
      <c r="C85" s="3" t="inlineStr">
        <is>
          <t>Branding</t>
        </is>
      </c>
      <c r="D85" s="3" t="inlineStr">
        <is>
          <t>Ally</t>
        </is>
      </c>
      <c r="E85" s="3" t="inlineStr">
        <is>
          <t>Tiyasha</t>
        </is>
      </c>
      <c r="F85" s="3" t="inlineStr">
        <is>
          <t>+91 96741 19228</t>
        </is>
      </c>
      <c r="G85" s="3" t="inlineStr">
        <is>
          <t>tiyasha.mitra@inorbit.in</t>
        </is>
      </c>
      <c r="H85" s="3" t="inlineStr">
        <is>
          <t>Didnt work out</t>
        </is>
      </c>
      <c r="I85" s="3" t="inlineStr"/>
      <c r="J85" s="3" t="inlineStr"/>
      <c r="K85" s="3" t="inlineStr">
        <is>
          <t>Case Studies deck shared with the client.</t>
        </is>
      </c>
    </row>
    <row r="86">
      <c r="A86" s="2" t="inlineStr">
        <is>
          <t>14th Jan</t>
        </is>
      </c>
      <c r="B86" s="2" t="inlineStr">
        <is>
          <t>HueTag</t>
        </is>
      </c>
      <c r="C86" s="2" t="inlineStr">
        <is>
          <t>Branding</t>
        </is>
      </c>
      <c r="D86" s="2" t="inlineStr">
        <is>
          <t>Tan</t>
        </is>
      </c>
      <c r="E86" s="2" t="inlineStr">
        <is>
          <t>Yash</t>
        </is>
      </c>
      <c r="F86" s="2" t="inlineStr">
        <is>
          <t>+91 96436 34608</t>
        </is>
      </c>
      <c r="G86" s="2" t="inlineStr">
        <is>
          <t>Yash.lakhmani0580@gmail.com</t>
        </is>
      </c>
      <c r="H86" s="2" t="inlineStr">
        <is>
          <t>First Call</t>
        </is>
      </c>
      <c r="I86" s="2" t="inlineStr"/>
      <c r="J86" s="2" t="inlineStr"/>
      <c r="K86" s="2" t="inlineStr">
        <is>
          <t>commercials didn't work</t>
        </is>
      </c>
    </row>
    <row r="87">
      <c r="A87" s="3" t="inlineStr">
        <is>
          <t>19th Jan</t>
        </is>
      </c>
      <c r="B87" s="3" t="inlineStr">
        <is>
          <t>Oral-care FMCG brand</t>
        </is>
      </c>
      <c r="C87" s="3" t="inlineStr">
        <is>
          <t>Branding</t>
        </is>
      </c>
      <c r="D87" s="3" t="inlineStr">
        <is>
          <t>Ally</t>
        </is>
      </c>
      <c r="E87" s="3" t="inlineStr">
        <is>
          <t>Harshleen</t>
        </is>
      </c>
      <c r="F87" s="3" t="inlineStr">
        <is>
          <t>+91 95751 00999</t>
        </is>
      </c>
      <c r="G87" s="3" t="inlineStr">
        <is>
          <t>bhatiaharshleen11@gmail.com</t>
        </is>
      </c>
      <c r="H87" s="3" t="inlineStr">
        <is>
          <t>Didnt work out</t>
        </is>
      </c>
      <c r="I87" s="3" t="inlineStr">
        <is>
          <t>TBD</t>
        </is>
      </c>
      <c r="J87" s="3" t="inlineStr"/>
      <c r="K87" s="3" t="inlineStr">
        <is>
          <t>Client has not responded to calls and texts.</t>
        </is>
      </c>
    </row>
    <row r="88">
      <c r="A88" s="2" t="inlineStr"/>
      <c r="B88" s="2" t="inlineStr">
        <is>
          <t>Elevator Brand</t>
        </is>
      </c>
      <c r="C88" s="2" t="inlineStr">
        <is>
          <t>Branding</t>
        </is>
      </c>
      <c r="D88" s="2" t="inlineStr">
        <is>
          <t>Ally</t>
        </is>
      </c>
      <c r="E88" s="2" t="inlineStr">
        <is>
          <t>Prachi</t>
        </is>
      </c>
      <c r="F88" s="2" t="inlineStr">
        <is>
          <t>+91 77383 87212</t>
        </is>
      </c>
      <c r="G88" s="2" t="inlineStr">
        <is>
          <t>prachi.jadhav@eroselevators.com</t>
        </is>
      </c>
      <c r="H88" s="2" t="inlineStr">
        <is>
          <t>Didnt work out</t>
        </is>
      </c>
      <c r="I88" s="2" t="inlineStr">
        <is>
          <t>TBD</t>
        </is>
      </c>
      <c r="J88" s="2" t="inlineStr"/>
      <c r="K88" s="2" t="inlineStr">
        <is>
          <t>Commercials shared with the client. Client has not responded thereafter.</t>
        </is>
      </c>
    </row>
    <row r="89">
      <c r="A89" s="3" t="inlineStr">
        <is>
          <t>22nd Jan</t>
        </is>
      </c>
      <c r="B89" s="3" t="inlineStr">
        <is>
          <t>Project Ezza</t>
        </is>
      </c>
      <c r="C89" s="3" t="inlineStr">
        <is>
          <t>Branding, Web</t>
        </is>
      </c>
      <c r="D89" s="3" t="inlineStr">
        <is>
          <t>Ally</t>
        </is>
      </c>
      <c r="E89" s="3" t="inlineStr">
        <is>
          <t>Dimpy</t>
        </is>
      </c>
      <c r="F89" s="3" t="inlineStr">
        <is>
          <t>+91 99202 74266</t>
        </is>
      </c>
      <c r="G89" s="3" t="inlineStr"/>
      <c r="H89" s="3" t="inlineStr">
        <is>
          <t>Commercials</t>
        </is>
      </c>
      <c r="I89" s="4" t="n">
        <v>550000</v>
      </c>
      <c r="J89" s="3" t="inlineStr"/>
      <c r="K89" s="3" t="inlineStr">
        <is>
          <t>Proposal has been shared with the client for website.</t>
        </is>
      </c>
    </row>
    <row r="90">
      <c r="A90" s="2" t="inlineStr">
        <is>
          <t>28th Jan</t>
        </is>
      </c>
      <c r="B90" s="2" t="inlineStr">
        <is>
          <t>My Athlete</t>
        </is>
      </c>
      <c r="C90" s="2" t="inlineStr">
        <is>
          <t>Branding</t>
        </is>
      </c>
      <c r="D90" s="2" t="inlineStr">
        <is>
          <t>Ally</t>
        </is>
      </c>
      <c r="E90" s="2" t="inlineStr">
        <is>
          <t>Bhaben</t>
        </is>
      </c>
      <c r="F90" s="2" t="inlineStr">
        <is>
          <t>+91 97926 74222</t>
        </is>
      </c>
      <c r="G90" s="2" t="inlineStr">
        <is>
          <t>bhaben83@gmail.com</t>
        </is>
      </c>
      <c r="H90" s="2" t="inlineStr">
        <is>
          <t>Didnt work out</t>
        </is>
      </c>
      <c r="I90" s="2" t="inlineStr">
        <is>
          <t>TBD</t>
        </is>
      </c>
      <c r="J90" s="2" t="inlineStr"/>
      <c r="K90" s="2" t="inlineStr">
        <is>
          <t>Proposal to be shared for the same by the 29th January, 2026</t>
        </is>
      </c>
    </row>
    <row r="91">
      <c r="A91" s="3" t="inlineStr"/>
      <c r="B91" s="3" t="inlineStr">
        <is>
          <t>Forge Tech</t>
        </is>
      </c>
      <c r="C91" s="3" t="inlineStr">
        <is>
          <t>Branding</t>
        </is>
      </c>
      <c r="D91" s="3" t="inlineStr">
        <is>
          <t>Ally</t>
        </is>
      </c>
      <c r="E91" s="3" t="inlineStr">
        <is>
          <t>Prasad</t>
        </is>
      </c>
      <c r="F91" s="3" t="inlineStr">
        <is>
          <t>+91 72084 82730</t>
        </is>
      </c>
      <c r="G91" s="3" t="inlineStr">
        <is>
          <t>prasad.kabadi@ideaforgetech.com</t>
        </is>
      </c>
      <c r="H91" s="3" t="inlineStr">
        <is>
          <t>First Call</t>
        </is>
      </c>
      <c r="I91" s="3" t="inlineStr">
        <is>
          <t>TBD</t>
        </is>
      </c>
      <c r="J91" s="3" t="inlineStr"/>
      <c r="K91" s="3" t="inlineStr">
        <is>
          <t>Tried connecting with the client but was not able to get through.</t>
        </is>
      </c>
    </row>
    <row r="92">
      <c r="A92" s="2" t="inlineStr"/>
      <c r="B92" s="2" t="inlineStr">
        <is>
          <t>Punjas</t>
        </is>
      </c>
      <c r="C92" s="2" t="inlineStr">
        <is>
          <t>Branding</t>
        </is>
      </c>
      <c r="D92" s="2" t="inlineStr">
        <is>
          <t>Ally</t>
        </is>
      </c>
      <c r="E92" s="2" t="inlineStr">
        <is>
          <t>Gopal</t>
        </is>
      </c>
      <c r="F92" s="2" t="inlineStr">
        <is>
          <t>+91 67970 08805</t>
        </is>
      </c>
      <c r="G92" s="2" t="inlineStr">
        <is>
          <t>gopal@punjas.com</t>
        </is>
      </c>
      <c r="H92" s="2" t="inlineStr">
        <is>
          <t>Commercials</t>
        </is>
      </c>
      <c r="I92" s="2" t="inlineStr"/>
      <c r="J92" s="2" t="inlineStr"/>
      <c r="K92" s="2" t="inlineStr">
        <is>
          <t>Rate card shared with the client.</t>
        </is>
      </c>
    </row>
    <row r="93">
      <c r="A93" s="3" t="inlineStr"/>
      <c r="B93" s="3" t="inlineStr">
        <is>
          <t>NA</t>
        </is>
      </c>
      <c r="C93" s="3" t="inlineStr">
        <is>
          <t>Branding</t>
        </is>
      </c>
      <c r="D93" s="3" t="inlineStr">
        <is>
          <t>Tan</t>
        </is>
      </c>
      <c r="E93" s="3" t="inlineStr">
        <is>
          <t>Falguni</t>
        </is>
      </c>
      <c r="F93" s="3" t="inlineStr">
        <is>
          <t>+91 88799 27537</t>
        </is>
      </c>
      <c r="G93" s="3" t="inlineStr">
        <is>
          <t>falguni240396@gmail.com</t>
        </is>
      </c>
      <c r="H93" s="3" t="inlineStr">
        <is>
          <t>Commercials</t>
        </is>
      </c>
      <c r="I93" s="3" t="inlineStr"/>
      <c r="J93" s="3" t="inlineStr"/>
      <c r="K93" s="3" t="inlineStr">
        <is>
          <t>commercials didn't work</t>
        </is>
      </c>
    </row>
    <row r="94">
      <c r="A94" s="2" t="inlineStr"/>
      <c r="B94" s="2" t="inlineStr">
        <is>
          <t>Biorad</t>
        </is>
      </c>
      <c r="C94" s="2" t="inlineStr">
        <is>
          <t>Branding</t>
        </is>
      </c>
      <c r="D94" s="2" t="inlineStr">
        <is>
          <t>Ally</t>
        </is>
      </c>
      <c r="E94" s="2" t="inlineStr">
        <is>
          <t>Tanishq</t>
        </is>
      </c>
      <c r="F94" s="2" t="inlineStr">
        <is>
          <t>+610451991409</t>
        </is>
      </c>
      <c r="G94" s="2" t="inlineStr">
        <is>
          <t>tanishq.hegde@bioradmedisys.com</t>
        </is>
      </c>
      <c r="H94" s="2" t="inlineStr">
        <is>
          <t>First Call</t>
        </is>
      </c>
      <c r="I94" s="2" t="inlineStr"/>
      <c r="J94" s="2" t="inlineStr"/>
      <c r="K94" s="2" t="inlineStr">
        <is>
          <t>Proposal commercials closure call at 1 pm.</t>
        </is>
      </c>
    </row>
    <row r="95">
      <c r="A95" s="3" t="inlineStr">
        <is>
          <t>29th Jan</t>
        </is>
      </c>
      <c r="B95" s="3" t="inlineStr">
        <is>
          <t>Pureforma</t>
        </is>
      </c>
      <c r="C95" s="3" t="inlineStr">
        <is>
          <t>Branding</t>
        </is>
      </c>
      <c r="D95" s="3" t="inlineStr">
        <is>
          <t>Ally</t>
        </is>
      </c>
      <c r="E95" s="3" t="inlineStr">
        <is>
          <t>Pratima</t>
        </is>
      </c>
      <c r="F95" s="3" t="inlineStr">
        <is>
          <t>+91 98929 02338</t>
        </is>
      </c>
      <c r="G95" s="3" t="inlineStr">
        <is>
          <t>pratima.kamat@pureforma.in</t>
        </is>
      </c>
      <c r="H95" s="3" t="inlineStr">
        <is>
          <t>First Call</t>
        </is>
      </c>
      <c r="I95" s="3" t="inlineStr"/>
      <c r="J95" s="3" t="inlineStr"/>
      <c r="K95" s="3" t="inlineStr">
        <is>
          <t>First call done with the client.</t>
        </is>
      </c>
    </row>
    <row r="96">
      <c r="A96" s="2" t="inlineStr"/>
      <c r="B96" s="2" t="inlineStr">
        <is>
          <t>Oilmax</t>
        </is>
      </c>
      <c r="C96" s="2" t="inlineStr">
        <is>
          <t>Branding</t>
        </is>
      </c>
      <c r="D96" s="2" t="inlineStr">
        <is>
          <t>Ally</t>
        </is>
      </c>
      <c r="E96" s="2" t="inlineStr">
        <is>
          <t>Rostan</t>
        </is>
      </c>
      <c r="F96" s="2" t="inlineStr">
        <is>
          <t>+91 99602 87807</t>
        </is>
      </c>
      <c r="G96" s="2" t="inlineStr">
        <is>
          <t>rostan.miranda@aniritventures.com</t>
        </is>
      </c>
      <c r="H96" s="2" t="inlineStr">
        <is>
          <t>Commercials</t>
        </is>
      </c>
      <c r="I96" s="2" t="inlineStr"/>
      <c r="J96" s="2" t="inlineStr"/>
      <c r="K96" s="2" t="inlineStr">
        <is>
          <t>Proposal has been shared with the client. Awaiting response on the same.</t>
        </is>
      </c>
    </row>
    <row r="97">
      <c r="A97" s="3" t="inlineStr"/>
      <c r="B97" s="3" t="inlineStr">
        <is>
          <t>Kimora</t>
        </is>
      </c>
      <c r="C97" s="3" t="inlineStr">
        <is>
          <t>Branding</t>
        </is>
      </c>
      <c r="D97" s="3" t="inlineStr">
        <is>
          <t>Ally</t>
        </is>
      </c>
      <c r="E97" s="3" t="inlineStr">
        <is>
          <t>Bhumi</t>
        </is>
      </c>
      <c r="F97" s="3" t="inlineStr">
        <is>
          <t>+91 95100 70153</t>
        </is>
      </c>
      <c r="G97" s="3" t="inlineStr">
        <is>
          <t>business@kimora.in</t>
        </is>
      </c>
      <c r="H97" s="3" t="inlineStr">
        <is>
          <t>Commercials</t>
        </is>
      </c>
      <c r="I97" s="3" t="inlineStr"/>
      <c r="J97" s="3" t="inlineStr"/>
      <c r="K97" s="3" t="inlineStr">
        <is>
          <t>Internal review of budgets ongoing.</t>
        </is>
      </c>
    </row>
    <row r="98">
      <c r="A98" s="2" t="inlineStr">
        <is>
          <t>12th Feb</t>
        </is>
      </c>
      <c r="B98" s="2" t="inlineStr">
        <is>
          <t>Organic Food Brand</t>
        </is>
      </c>
      <c r="C98" s="2" t="inlineStr">
        <is>
          <t>Branding</t>
        </is>
      </c>
      <c r="D98" s="2" t="inlineStr">
        <is>
          <t>Tan</t>
        </is>
      </c>
      <c r="E98" s="2" t="inlineStr">
        <is>
          <t>Yashraj</t>
        </is>
      </c>
      <c r="F98" s="2" t="inlineStr">
        <is>
          <t>+91 96986 91111</t>
        </is>
      </c>
      <c r="G98" s="2" t="inlineStr">
        <is>
          <t>yashrajsinghtada@gmail.com</t>
        </is>
      </c>
      <c r="H98" s="2" t="inlineStr">
        <is>
          <t>First Call</t>
        </is>
      </c>
      <c r="I98" s="5" t="n">
        <v>100000000</v>
      </c>
      <c r="J98" s="2" t="inlineStr"/>
      <c r="K98" s="2" t="inlineStr">
        <is>
          <t>Yashraj has a budget of 7L for branding and packaging.</t>
        </is>
      </c>
    </row>
    <row r="99">
      <c r="A99" s="3" t="inlineStr">
        <is>
          <t>12th Feb</t>
        </is>
      </c>
      <c r="B99" s="3" t="inlineStr">
        <is>
          <t>Coffee Branding</t>
        </is>
      </c>
      <c r="C99" s="3" t="inlineStr">
        <is>
          <t>Branding</t>
        </is>
      </c>
      <c r="D99" s="3" t="inlineStr">
        <is>
          <t>Tan</t>
        </is>
      </c>
      <c r="E99" s="3" t="inlineStr">
        <is>
          <t>Shreyansh</t>
        </is>
      </c>
      <c r="F99" s="3" t="inlineStr">
        <is>
          <t>+91 99872 48272</t>
        </is>
      </c>
      <c r="G99" s="3" t="inlineStr">
        <is>
          <t>doshi.shreyansh@gmail.com</t>
        </is>
      </c>
      <c r="H99" s="3" t="inlineStr">
        <is>
          <t>Commercials</t>
        </is>
      </c>
      <c r="I99" s="3" t="inlineStr"/>
      <c r="J99" s="3" t="inlineStr"/>
      <c r="K99" s="3" t="inlineStr">
        <is>
          <t>Sent him a proposal for 22L, awaiting to hear back</t>
        </is>
      </c>
    </row>
    <row r="100">
      <c r="A100" s="2" t="inlineStr">
        <is>
          <t>16th Feb</t>
        </is>
      </c>
      <c r="B100" s="2" t="inlineStr">
        <is>
          <t>Automobile brand</t>
        </is>
      </c>
      <c r="C100" s="2" t="inlineStr">
        <is>
          <t>Branding</t>
        </is>
      </c>
      <c r="D100" s="2" t="inlineStr">
        <is>
          <t>Tan</t>
        </is>
      </c>
      <c r="E100" s="2" t="inlineStr">
        <is>
          <t>Dhrumil</t>
        </is>
      </c>
      <c r="F100" s="2" t="inlineStr">
        <is>
          <t>+91 91670 76010</t>
        </is>
      </c>
      <c r="G100" s="2" t="inlineStr">
        <is>
          <t>dhrumil@dhcindia.com</t>
        </is>
      </c>
      <c r="H100" s="2" t="inlineStr">
        <is>
          <t>Commercials</t>
        </is>
      </c>
      <c r="I100" s="2" t="inlineStr"/>
      <c r="J100" s="2" t="inlineStr"/>
      <c r="K100" s="2" t="inlineStr">
        <is>
          <t>Have sent him our commercials</t>
        </is>
      </c>
    </row>
    <row r="101">
      <c r="A101" s="3" t="inlineStr">
        <is>
          <t>17th Feb</t>
        </is>
      </c>
      <c r="B101" s="3" t="inlineStr">
        <is>
          <t>SBI MF</t>
        </is>
      </c>
      <c r="C101" s="3" t="inlineStr">
        <is>
          <t>Creatives</t>
        </is>
      </c>
      <c r="D101" s="3" t="inlineStr">
        <is>
          <t>Tan</t>
        </is>
      </c>
      <c r="E101" s="3" t="inlineStr">
        <is>
          <t>Prachi</t>
        </is>
      </c>
      <c r="F101" s="3" t="inlineStr">
        <is>
          <t>+91 95994 07143</t>
        </is>
      </c>
      <c r="G101" s="3" t="inlineStr">
        <is>
          <t>prachi.shinde@sbimf.com</t>
        </is>
      </c>
      <c r="H101" s="3" t="inlineStr">
        <is>
          <t>First Call</t>
        </is>
      </c>
      <c r="I101" s="3" t="inlineStr"/>
      <c r="J101" s="3" t="inlineStr"/>
      <c r="K101" s="3" t="inlineStr"/>
    </row>
    <row r="102">
      <c r="A102" s="2" t="inlineStr">
        <is>
          <t>17th Feb</t>
        </is>
      </c>
      <c r="B102" s="2" t="inlineStr">
        <is>
          <t>Powerbuild Batteries</t>
        </is>
      </c>
      <c r="C102" s="2" t="inlineStr">
        <is>
          <t>Branding</t>
        </is>
      </c>
      <c r="D102" s="2" t="inlineStr">
        <is>
          <t>Ally</t>
        </is>
      </c>
      <c r="E102" s="2" t="inlineStr">
        <is>
          <t>Pawan</t>
        </is>
      </c>
      <c r="F102" s="2" t="inlineStr">
        <is>
          <t>+91 89833 50003</t>
        </is>
      </c>
      <c r="G102" s="2" t="inlineStr">
        <is>
          <t>pawan.lahane@timetechnoplast.com</t>
        </is>
      </c>
      <c r="H102" s="2" t="inlineStr">
        <is>
          <t>Commercials</t>
        </is>
      </c>
      <c r="I102" s="2" t="inlineStr"/>
      <c r="J102" s="2" t="inlineStr"/>
      <c r="K102" s="2" t="inlineStr">
        <is>
          <t>Proposal shared for review. Awaiting response on the same.</t>
        </is>
      </c>
    </row>
    <row r="103">
      <c r="A103" s="3" t="inlineStr">
        <is>
          <t>18th Feb</t>
        </is>
      </c>
      <c r="B103" s="3" t="inlineStr">
        <is>
          <t>Kimirica</t>
        </is>
      </c>
      <c r="C103" s="3" t="inlineStr">
        <is>
          <t>Branding</t>
        </is>
      </c>
      <c r="D103" s="3" t="inlineStr">
        <is>
          <t>Ally</t>
        </is>
      </c>
      <c r="E103" s="3" t="inlineStr">
        <is>
          <t>Pooja</t>
        </is>
      </c>
      <c r="F103" s="3" t="inlineStr">
        <is>
          <t>+91 95840 00357</t>
        </is>
      </c>
      <c r="G103" s="3" t="inlineStr">
        <is>
          <t>pooja.bhagat@kimirica.shop</t>
        </is>
      </c>
      <c r="H103" s="3" t="inlineStr">
        <is>
          <t>Commercials</t>
        </is>
      </c>
      <c r="I103" s="3" t="inlineStr"/>
      <c r="J103" s="3" t="inlineStr"/>
      <c r="K103" s="3" t="inlineStr">
        <is>
          <t>Mall Pop Up Moodboard commercials shared with the client. No response.</t>
        </is>
      </c>
    </row>
    <row r="104">
      <c r="A104" s="2" t="inlineStr">
        <is>
          <t>18th Feb</t>
        </is>
      </c>
      <c r="B104" s="2" t="inlineStr">
        <is>
          <t>Dada Design</t>
        </is>
      </c>
      <c r="C104" s="2" t="inlineStr">
        <is>
          <t>Web</t>
        </is>
      </c>
      <c r="D104" s="2" t="inlineStr">
        <is>
          <t>Ally</t>
        </is>
      </c>
      <c r="E104" s="2" t="inlineStr">
        <is>
          <t>Vasanthan</t>
        </is>
      </c>
      <c r="F104" s="2" t="inlineStr">
        <is>
          <t>+97451386864</t>
        </is>
      </c>
      <c r="G104" s="2" t="inlineStr">
        <is>
          <t>vasanth@dadaarchitecture.com</t>
        </is>
      </c>
      <c r="H104" s="2" t="inlineStr">
        <is>
          <t>Didnt work out</t>
        </is>
      </c>
      <c r="I104" s="2" t="inlineStr"/>
      <c r="J104" s="2" t="inlineStr"/>
      <c r="K104" s="2" t="inlineStr">
        <is>
          <t>No response. Follow up has been done.</t>
        </is>
      </c>
    </row>
    <row r="105">
      <c r="A105" s="3" t="inlineStr">
        <is>
          <t>2nd March</t>
        </is>
      </c>
      <c r="B105" s="3" t="inlineStr">
        <is>
          <t>Upal - Branding</t>
        </is>
      </c>
      <c r="C105" s="3" t="inlineStr">
        <is>
          <t>Branding</t>
        </is>
      </c>
      <c r="D105" s="3" t="inlineStr">
        <is>
          <t>Ally</t>
        </is>
      </c>
      <c r="E105" s="3" t="inlineStr">
        <is>
          <t>Upal</t>
        </is>
      </c>
      <c r="F105" s="3" t="inlineStr">
        <is>
          <t>+91 98201 73037</t>
        </is>
      </c>
      <c r="G105" s="3" t="inlineStr">
        <is>
          <t>upalsarkar31@gmail.com</t>
        </is>
      </c>
      <c r="H105" s="3" t="inlineStr">
        <is>
          <t>Didnt work out</t>
        </is>
      </c>
      <c r="I105" s="3" t="inlineStr"/>
      <c r="J105" s="3" t="inlineStr"/>
      <c r="K105" s="3" t="inlineStr">
        <is>
          <t>Budget of 2.5L.</t>
        </is>
      </c>
    </row>
    <row r="106">
      <c r="A106" s="2" t="inlineStr">
        <is>
          <t>2nd March</t>
        </is>
      </c>
      <c r="B106" s="2" t="inlineStr">
        <is>
          <t>Megrove Global School</t>
        </is>
      </c>
      <c r="C106" s="2" t="inlineStr">
        <is>
          <t>Branding</t>
        </is>
      </c>
      <c r="D106" s="2" t="inlineStr">
        <is>
          <t>Ally</t>
        </is>
      </c>
      <c r="E106" s="2" t="inlineStr">
        <is>
          <t>Amol</t>
        </is>
      </c>
      <c r="F106" s="2" t="inlineStr">
        <is>
          <t>+91 90214 96479</t>
        </is>
      </c>
      <c r="G106" s="2" t="inlineStr">
        <is>
          <t>amol.m@adccacademy.com</t>
        </is>
      </c>
      <c r="H106" s="2" t="inlineStr">
        <is>
          <t>Didnt work out</t>
        </is>
      </c>
      <c r="I106" s="2" t="inlineStr"/>
      <c r="J106" s="2" t="inlineStr"/>
      <c r="K106" s="2" t="inlineStr">
        <is>
          <t>Proposal discussion and commercials on the 25th Feb.</t>
        </is>
      </c>
    </row>
    <row r="107">
      <c r="A107" s="3" t="inlineStr">
        <is>
          <t>2nd March</t>
        </is>
      </c>
      <c r="B107" s="3" t="inlineStr">
        <is>
          <t>Ayvens India</t>
        </is>
      </c>
      <c r="C107" s="3" t="inlineStr">
        <is>
          <t>Branding</t>
        </is>
      </c>
      <c r="D107" s="3" t="inlineStr">
        <is>
          <t>Ally</t>
        </is>
      </c>
      <c r="E107" s="3" t="inlineStr">
        <is>
          <t>Shalini</t>
        </is>
      </c>
      <c r="F107" s="3" t="inlineStr">
        <is>
          <t>+91 95822 14969</t>
        </is>
      </c>
      <c r="G107" s="3" t="inlineStr">
        <is>
          <t>shalini.baveja@ayvens.com</t>
        </is>
      </c>
      <c r="H107" s="3" t="inlineStr">
        <is>
          <t>Pitch</t>
        </is>
      </c>
      <c r="I107" s="3" t="inlineStr"/>
      <c r="J107" s="3" t="inlineStr"/>
      <c r="K107" s="3" t="inlineStr">
        <is>
          <t>Pitch date to be finalised basis the call.</t>
        </is>
      </c>
    </row>
    <row r="108">
      <c r="A108" s="2" t="inlineStr">
        <is>
          <t>2nd March</t>
        </is>
      </c>
      <c r="B108" s="2" t="inlineStr">
        <is>
          <t>Kimirica</t>
        </is>
      </c>
      <c r="C108" s="2" t="inlineStr">
        <is>
          <t>Web</t>
        </is>
      </c>
      <c r="D108" s="2" t="inlineStr">
        <is>
          <t>Ally</t>
        </is>
      </c>
      <c r="E108" s="2" t="inlineStr">
        <is>
          <t>Saloni</t>
        </is>
      </c>
      <c r="F108" s="2" t="inlineStr">
        <is>
          <t>+91 91117 44744</t>
        </is>
      </c>
      <c r="G108" s="2" t="inlineStr">
        <is>
          <t>saloni.saraf@kimirica.shop</t>
        </is>
      </c>
      <c r="H108" s="2" t="inlineStr">
        <is>
          <t>Commercials</t>
        </is>
      </c>
      <c r="I108" s="2" t="inlineStr"/>
      <c r="J108" s="2" t="inlineStr"/>
      <c r="K108" s="2" t="inlineStr">
        <is>
          <t>Proposal shared with the client.</t>
        </is>
      </c>
    </row>
    <row r="109">
      <c r="A109" s="3" t="inlineStr">
        <is>
          <t>9th March</t>
        </is>
      </c>
      <c r="B109" s="3" t="inlineStr">
        <is>
          <t>Kalatita + NGO</t>
        </is>
      </c>
      <c r="C109" s="3" t="inlineStr">
        <is>
          <t>Branding</t>
        </is>
      </c>
      <c r="D109" s="3" t="inlineStr">
        <is>
          <t>Ally</t>
        </is>
      </c>
      <c r="E109" s="3" t="inlineStr">
        <is>
          <t>Darayash</t>
        </is>
      </c>
      <c r="F109" s="3" t="inlineStr">
        <is>
          <t>+91 98200 60818</t>
        </is>
      </c>
      <c r="G109" s="3" t="inlineStr">
        <is>
          <t>darayash.gocal@gmail.com</t>
        </is>
      </c>
      <c r="H109" s="3" t="inlineStr">
        <is>
          <t>First Call</t>
        </is>
      </c>
      <c r="I109" s="3" t="inlineStr"/>
      <c r="J109" s="3" t="inlineStr"/>
      <c r="K109" s="3" t="inlineStr">
        <is>
          <t>Client is yet to confirm on the meeting in-office.</t>
        </is>
      </c>
    </row>
    <row r="110">
      <c r="A110" s="2" t="inlineStr">
        <is>
          <t>11th March</t>
        </is>
      </c>
      <c r="B110" s="2" t="inlineStr">
        <is>
          <t>Fabletics</t>
        </is>
      </c>
      <c r="C110" s="2" t="inlineStr">
        <is>
          <t>Branding</t>
        </is>
      </c>
      <c r="D110" s="2" t="inlineStr">
        <is>
          <t>Tan</t>
        </is>
      </c>
      <c r="E110" s="2" t="inlineStr">
        <is>
          <t>Roshni</t>
        </is>
      </c>
      <c r="F110" s="2" t="inlineStr">
        <is>
          <t>+91 95799 39636</t>
        </is>
      </c>
      <c r="G110" s="2" t="inlineStr"/>
      <c r="H110" s="2" t="inlineStr">
        <is>
          <t>Commercials</t>
        </is>
      </c>
      <c r="I110" s="5" t="n">
        <v>30000000</v>
      </c>
      <c r="J110" s="2" t="inlineStr"/>
      <c r="K110" s="2" t="inlineStr">
        <is>
          <t>Need to send the proposal today.</t>
        </is>
      </c>
    </row>
  </sheetData>
  <autoFilter ref="A1:K110"/>
  <conditionalFormatting sqref="H2:H110">
    <cfRule type="cellIs" priority="1" operator="equal" dxfId="0">
      <formula>"Closed"</formula>
    </cfRule>
    <cfRule type="cellIs" priority="2" operator="equal" dxfId="1">
      <formula>"Didnt work out"</formula>
    </cfRule>
    <cfRule type="cellIs" priority="3" operator="equal" dxfId="2">
      <formula>"Commercials"</formula>
    </cfRule>
    <cfRule type="cellIs" priority="4" operator="equal" dxfId="3">
      <formula>"Pitch"</formula>
    </cfRule>
  </conditionalFormatting>
  <conditionalFormatting sqref="F2:F110">
    <cfRule type="expression" priority="5" dxfId="1">
      <formula>LEN(TRIM(F2))=0</formula>
    </cfRule>
  </conditionalFormatting>
  <conditionalFormatting sqref="G2:G110">
    <cfRule type="expression" priority="6" dxfId="1">
      <formula>LEN(TRIM(G2))=0</formula>
    </cfRule>
  </conditionalFormatting>
  <dataValidations count="2">
    <dataValidation sqref="H2:H110" showDropDown="0" showInputMessage="0" showErrorMessage="0" allowBlank="1" errorTitle="Invalid Stage" error="Please select a valid stage" promptTitle="Stage" prompt="Select the deal stage" type="list">
      <formula1>"First Call,Pitch,Commercials,Closed,Didnt work out"</formula1>
    </dataValidation>
    <dataValidation sqref="D2:D110" showDropDown="0" showInputMessage="0" showErrorMessage="0" allowBlank="1" errorTitle="Invalid Handler" error="Please select a valid handler" type="list">
      <formula1>"Tan,Ally"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9800"/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6" t="inlineStr">
        <is>
          <t>PIPELINE DASHBOARD</t>
        </is>
      </c>
    </row>
    <row r="2">
      <c r="A2" s="7" t="inlineStr">
        <is>
          <t>Formulas update automatically when Pipeline data changes</t>
        </is>
      </c>
    </row>
    <row r="4">
      <c r="A4" s="8" t="inlineStr">
        <is>
          <t>PIPELINE SUMMARY BY STAGE</t>
        </is>
      </c>
      <c r="B4" s="9" t="n"/>
      <c r="C4" s="9" t="n"/>
      <c r="D4" s="9" t="n"/>
    </row>
    <row r="5">
      <c r="A5" s="10" t="inlineStr">
        <is>
          <t>Stage</t>
        </is>
      </c>
      <c r="B5" s="10" t="inlineStr">
        <is>
          <t>Count</t>
        </is>
      </c>
      <c r="C5" s="10" t="inlineStr">
        <is>
          <t>Total Value</t>
        </is>
      </c>
      <c r="D5" s="10" t="inlineStr">
        <is>
          <t>Avg Deal Size</t>
        </is>
      </c>
    </row>
    <row r="6">
      <c r="A6" t="inlineStr">
        <is>
          <t>First Call</t>
        </is>
      </c>
      <c r="B6">
        <f>COUNTIF(Pipeline!H:H,"First Call")</f>
        <v/>
      </c>
      <c r="C6" s="11">
        <f>SUMIF(Pipeline!H:H,"First Call",Pipeline!I:I)</f>
        <v/>
      </c>
      <c r="D6" s="11">
        <f>IFERROR(C6/B6,0)</f>
        <v/>
      </c>
    </row>
    <row r="7">
      <c r="A7" t="inlineStr">
        <is>
          <t>Pitch</t>
        </is>
      </c>
      <c r="B7">
        <f>COUNTIF(Pipeline!H:H,"Pitch")</f>
        <v/>
      </c>
      <c r="C7" s="11">
        <f>SUMIF(Pipeline!H:H,"Pitch",Pipeline!I:I)</f>
        <v/>
      </c>
      <c r="D7" s="11">
        <f>IFERROR(C7/B7,0)</f>
        <v/>
      </c>
    </row>
    <row r="8">
      <c r="A8" t="inlineStr">
        <is>
          <t>Commercials</t>
        </is>
      </c>
      <c r="B8">
        <f>COUNTIF(Pipeline!H:H,"Commercials")</f>
        <v/>
      </c>
      <c r="C8" s="11">
        <f>SUMIF(Pipeline!H:H,"Commercials",Pipeline!I:I)</f>
        <v/>
      </c>
      <c r="D8" s="11">
        <f>IFERROR(C8/B8,0)</f>
        <v/>
      </c>
    </row>
    <row r="9">
      <c r="A9" t="inlineStr">
        <is>
          <t>Closed</t>
        </is>
      </c>
      <c r="B9">
        <f>COUNTIF(Pipeline!H:H,"Closed")</f>
        <v/>
      </c>
      <c r="C9" s="11">
        <f>SUMIF(Pipeline!H:H,"Closed",Pipeline!I:I)</f>
        <v/>
      </c>
      <c r="D9" s="11">
        <f>IFERROR(C9/B9,0)</f>
        <v/>
      </c>
    </row>
    <row r="10">
      <c r="A10" t="inlineStr">
        <is>
          <t>Didnt work out</t>
        </is>
      </c>
      <c r="B10">
        <f>COUNTIF(Pipeline!H:H,"Didnt work out")</f>
        <v/>
      </c>
      <c r="C10" s="11">
        <f>SUMIF(Pipeline!H:H,"Didnt work out",Pipeline!I:I)</f>
        <v/>
      </c>
      <c r="D10" s="11">
        <f>IFERROR(C10/B10,0)</f>
        <v/>
      </c>
    </row>
    <row r="11">
      <c r="A11" s="12" t="inlineStr">
        <is>
          <t>TOTAL</t>
        </is>
      </c>
      <c r="B11" s="12">
        <f>SUM(B6:B10)</f>
        <v/>
      </c>
      <c r="C11" s="13">
        <f>SUM(C6:C10)</f>
        <v/>
      </c>
      <c r="D11" s="13">
        <f>IFERROR(C11/B11,0)</f>
        <v/>
      </c>
    </row>
    <row r="13">
      <c r="A13" s="8" t="inlineStr">
        <is>
          <t>REVENUE METRICS</t>
        </is>
      </c>
      <c r="B13" s="9" t="n"/>
    </row>
    <row r="14">
      <c r="A14" s="12" t="inlineStr">
        <is>
          <t>Closed Revenue</t>
        </is>
      </c>
      <c r="B14" s="11">
        <f>SUMIF(Pipeline!H:H,"Closed",Pipeline!I:I)</f>
        <v/>
      </c>
    </row>
    <row r="15">
      <c r="A15" s="12" t="inlineStr">
        <is>
          <t>Active Pipeline Value</t>
        </is>
      </c>
      <c r="B15" s="11">
        <f>SUMIF(Pipeline!H:H,"First Call",Pipeline!I:I)+SUMIF(Pipeline!H:H,"Pitch",Pipeline!I:I)+SUMIF(Pipeline!H:H,"Commercials",Pipeline!I:I)</f>
        <v/>
      </c>
    </row>
    <row r="16">
      <c r="A16" s="12" t="inlineStr">
        <is>
          <t>Total Pipeline (excl. Lost)</t>
        </is>
      </c>
      <c r="B16" s="11">
        <f>B14+B15</f>
        <v/>
      </c>
    </row>
    <row r="17">
      <c r="A17" s="12" t="inlineStr">
        <is>
          <t>Average Deal Size</t>
        </is>
      </c>
      <c r="B17" s="11">
        <f>IFERROR(C11/B11,0)</f>
        <v/>
      </c>
    </row>
    <row r="18">
      <c r="A18" s="12" t="inlineStr">
        <is>
          <t>Deals with TBD Costs</t>
        </is>
      </c>
      <c r="B18">
        <f>COUNTIF(Pipeline!I:I,"TBD")</f>
        <v/>
      </c>
    </row>
    <row r="20">
      <c r="A20" s="8" t="inlineStr">
        <is>
          <t>TEAM PERFORMANCE</t>
        </is>
      </c>
      <c r="B20" s="9" t="n"/>
      <c r="C20" s="9" t="n"/>
      <c r="D20" s="9" t="n"/>
      <c r="E20" s="9" t="n"/>
    </row>
    <row r="21">
      <c r="A21" s="10" t="inlineStr">
        <is>
          <t>Team Member</t>
        </is>
      </c>
      <c r="B21" s="10" t="inlineStr">
        <is>
          <t>Total Deals</t>
        </is>
      </c>
      <c r="C21" s="10" t="inlineStr">
        <is>
          <t>Closed</t>
        </is>
      </c>
      <c r="D21" s="10" t="inlineStr">
        <is>
          <t>Closing Rate</t>
        </is>
      </c>
      <c r="E21" s="10" t="inlineStr">
        <is>
          <t>Revenue</t>
        </is>
      </c>
    </row>
    <row r="22">
      <c r="A22" t="inlineStr">
        <is>
          <t>Tan</t>
        </is>
      </c>
      <c r="B22">
        <f>COUNTIF(Pipeline!D:D,"Tan")</f>
        <v/>
      </c>
      <c r="C22">
        <f>COUNTIFS(Pipeline!D:D,"Tan",Pipeline!H:H,"Closed")</f>
        <v/>
      </c>
      <c r="D22" s="14">
        <f>IFERROR(C22/B22,0)</f>
        <v/>
      </c>
      <c r="E22" s="11">
        <f>SUMIFS(Pipeline!I:I,Pipeline!D:D,"Tan",Pipeline!H:H,"Closed")</f>
        <v/>
      </c>
    </row>
    <row r="23">
      <c r="A23" t="inlineStr">
        <is>
          <t>Ally</t>
        </is>
      </c>
      <c r="B23">
        <f>COUNTIF(Pipeline!D:D,"Ally")</f>
        <v/>
      </c>
      <c r="C23">
        <f>COUNTIFS(Pipeline!D:D,"Ally",Pipeline!H:H,"Closed")</f>
        <v/>
      </c>
      <c r="D23" s="14">
        <f>IFERROR(C23/B23,0)</f>
        <v/>
      </c>
      <c r="E23" s="11">
        <f>SUMIFS(Pipeline!I:I,Pipeline!D:D,"Ally",Pipeline!H:H,"Closed")</f>
        <v/>
      </c>
    </row>
    <row r="25">
      <c r="A25" s="8" t="inlineStr">
        <is>
          <t>SCOPE TYPE BREAKDOWN</t>
        </is>
      </c>
      <c r="B25" s="9" t="n"/>
      <c r="C25" s="9" t="n"/>
    </row>
    <row r="26">
      <c r="A26" s="10" t="inlineStr">
        <is>
          <t>Scope Type</t>
        </is>
      </c>
      <c r="B26" s="10" t="inlineStr">
        <is>
          <t>Count</t>
        </is>
      </c>
      <c r="C26" s="10" t="inlineStr">
        <is>
          <t>Value</t>
        </is>
      </c>
    </row>
    <row r="27">
      <c r="A27" t="inlineStr">
        <is>
          <t>Branding</t>
        </is>
      </c>
      <c r="B27">
        <f>COUNTIF(Pipeline!C:C,"*Branding*")</f>
        <v/>
      </c>
      <c r="C27" s="11">
        <f>SUMIF(Pipeline!C:C,"*Branding*",Pipeline!I:I)</f>
        <v/>
      </c>
    </row>
    <row r="28">
      <c r="A28" t="inlineStr">
        <is>
          <t>Web</t>
        </is>
      </c>
      <c r="B28">
        <f>COUNTIF(Pipeline!C:C,"*Web*")</f>
        <v/>
      </c>
      <c r="C28" s="11">
        <f>SUMIF(Pipeline!C:C,"*Web*",Pipeline!I:I)</f>
        <v/>
      </c>
    </row>
    <row r="29">
      <c r="A29" t="inlineStr">
        <is>
          <t>SMM</t>
        </is>
      </c>
      <c r="B29">
        <f>COUNTIF(Pipeline!C:C,"*SMM*")</f>
        <v/>
      </c>
      <c r="C29" s="11">
        <f>SUMIF(Pipeline!C:C,"*SMM*",Pipeline!I:I)</f>
        <v/>
      </c>
    </row>
    <row r="30">
      <c r="A30" t="inlineStr">
        <is>
          <t>Campaign</t>
        </is>
      </c>
      <c r="B30">
        <f>COUNTIF(Pipeline!C:C,"*Campaign*")</f>
        <v/>
      </c>
      <c r="C30" s="11">
        <f>SUMIF(Pipeline!C:C,"*Campaign*",Pipeline!I:I)</f>
        <v/>
      </c>
    </row>
    <row r="31">
      <c r="A31" t="inlineStr">
        <is>
          <t>Creatives</t>
        </is>
      </c>
      <c r="B31">
        <f>COUNTIF(Pipeline!C:C,"*Creatives*")</f>
        <v/>
      </c>
      <c r="C31" s="11">
        <f>SUMIF(Pipeline!C:C,"*Creatives*",Pipeline!I:I)</f>
        <v/>
      </c>
    </row>
    <row r="32">
      <c r="A32" t="inlineStr">
        <is>
          <t>Coffee table Book</t>
        </is>
      </c>
      <c r="B32">
        <f>COUNTIF(Pipeline!C:C,"*Coffee table Book*")</f>
        <v/>
      </c>
      <c r="C32" s="11">
        <f>SUMIF(Pipeline!C:C,"*Coffee table Book*",Pipeline!I:I)</f>
        <v/>
      </c>
    </row>
  </sheetData>
  <mergeCells count="5">
    <mergeCell ref="A25:C25"/>
    <mergeCell ref="A20:E20"/>
    <mergeCell ref="A4:D4"/>
    <mergeCell ref="A1:F1"/>
    <mergeCell ref="A13:B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CAF50"/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5" customWidth="1" min="3" max="3"/>
    <col width="12" customWidth="1" min="4" max="4"/>
    <col width="11" customWidth="1" min="5" max="5"/>
    <col width="17" customWidth="1" min="6" max="6"/>
    <col width="38" customWidth="1" min="7" max="7"/>
    <col width="8" customWidth="1" min="8" max="8"/>
    <col width="13" customWidth="1" min="9" max="9"/>
    <col width="25" customWidth="1" min="10" max="10"/>
    <col width="40" customWidth="1" min="11" max="11"/>
  </cols>
  <sheetData>
    <row r="1">
      <c r="A1" s="1" t="inlineStr">
        <is>
          <t>Date</t>
        </is>
      </c>
      <c r="B1" s="1" t="inlineStr">
        <is>
          <t>Brand Name</t>
        </is>
      </c>
      <c r="C1" s="1" t="inlineStr">
        <is>
          <t>Type of Scope</t>
        </is>
      </c>
      <c r="D1" s="1" t="inlineStr">
        <is>
          <t>Handled by</t>
        </is>
      </c>
      <c r="E1" s="1" t="inlineStr">
        <is>
          <t>POC Name</t>
        </is>
      </c>
      <c r="F1" s="1" t="inlineStr">
        <is>
          <t>Phone</t>
        </is>
      </c>
      <c r="G1" s="1" t="inlineStr">
        <is>
          <t>Email</t>
        </is>
      </c>
      <c r="H1" s="1" t="inlineStr">
        <is>
          <t>Stage</t>
        </is>
      </c>
      <c r="I1" s="1" t="inlineStr">
        <is>
          <t>Costs</t>
        </is>
      </c>
      <c r="J1" s="1" t="inlineStr">
        <is>
          <t>Proposal Date/Follow up</t>
        </is>
      </c>
      <c r="K1" s="1" t="inlineStr">
        <is>
          <t>Status</t>
        </is>
      </c>
    </row>
    <row r="2">
      <c r="A2" s="2" t="inlineStr"/>
      <c r="B2" s="2" t="inlineStr">
        <is>
          <t>Restaurant</t>
        </is>
      </c>
      <c r="C2" s="2" t="inlineStr">
        <is>
          <t>Branding</t>
        </is>
      </c>
      <c r="D2" s="2" t="inlineStr">
        <is>
          <t>Ally</t>
        </is>
      </c>
      <c r="E2" s="2" t="inlineStr">
        <is>
          <t>Ashwin</t>
        </is>
      </c>
      <c r="F2" s="2" t="inlineStr">
        <is>
          <t>+91 73027 39698</t>
        </is>
      </c>
      <c r="G2" s="2" t="inlineStr">
        <is>
          <t>ashwin2002singh@gmail.com</t>
        </is>
      </c>
      <c r="H2" s="2" t="inlineStr">
        <is>
          <t>Closed</t>
        </is>
      </c>
      <c r="I2" s="5" t="n">
        <v>120000000</v>
      </c>
      <c r="J2" s="2" t="inlineStr"/>
      <c r="K2" s="2" t="inlineStr">
        <is>
          <t>Closed. Awaiting advance payment, client has mentioned that is in process.</t>
        </is>
      </c>
    </row>
    <row r="3">
      <c r="A3" s="3" t="inlineStr"/>
      <c r="B3" s="3" t="inlineStr">
        <is>
          <t>Sweet Dreams</t>
        </is>
      </c>
      <c r="C3" s="3" t="inlineStr">
        <is>
          <t>Branding</t>
        </is>
      </c>
      <c r="D3" s="3" t="inlineStr">
        <is>
          <t>Ally</t>
        </is>
      </c>
      <c r="E3" s="3" t="inlineStr">
        <is>
          <t>Khushi</t>
        </is>
      </c>
      <c r="F3" s="3" t="inlineStr">
        <is>
          <t>+91 98709 10111</t>
        </is>
      </c>
      <c r="G3" s="3" t="inlineStr">
        <is>
          <t>khushi.apwig@gmail.com</t>
        </is>
      </c>
      <c r="H3" s="3" t="inlineStr">
        <is>
          <t>Closed</t>
        </is>
      </c>
      <c r="I3" s="4" t="n">
        <v>100000000</v>
      </c>
      <c r="J3" s="3" t="inlineStr"/>
      <c r="K3" s="3" t="inlineStr">
        <is>
          <t>Contract needs to be shared</t>
        </is>
      </c>
    </row>
    <row r="4">
      <c r="A4" s="2" t="inlineStr"/>
      <c r="B4" s="2" t="inlineStr">
        <is>
          <t>Pepsodent</t>
        </is>
      </c>
      <c r="C4" s="2" t="inlineStr">
        <is>
          <t>Branding</t>
        </is>
      </c>
      <c r="D4" s="2" t="inlineStr">
        <is>
          <t>Tan</t>
        </is>
      </c>
      <c r="E4" s="2" t="inlineStr">
        <is>
          <t>Reshma</t>
        </is>
      </c>
      <c r="F4" s="2" t="inlineStr">
        <is>
          <t>+91 99302 99445</t>
        </is>
      </c>
      <c r="G4" s="2" t="inlineStr">
        <is>
          <t>reshma.vaidya@unilever.com</t>
        </is>
      </c>
      <c r="H4" s="2" t="inlineStr">
        <is>
          <t>Closed</t>
        </is>
      </c>
      <c r="I4" s="5" t="n">
        <v>100000000</v>
      </c>
      <c r="J4" s="2" t="inlineStr"/>
      <c r="K4" s="2" t="inlineStr">
        <is>
          <t>Project completed.</t>
        </is>
      </c>
    </row>
    <row r="5">
      <c r="A5" s="3" t="inlineStr"/>
      <c r="B5" s="3" t="inlineStr">
        <is>
          <t>Stationery Brand</t>
        </is>
      </c>
      <c r="C5" s="3" t="inlineStr">
        <is>
          <t>Branding</t>
        </is>
      </c>
      <c r="D5" s="3" t="inlineStr">
        <is>
          <t>Ally</t>
        </is>
      </c>
      <c r="E5" s="3" t="inlineStr">
        <is>
          <t>Radhika</t>
        </is>
      </c>
      <c r="F5" s="3" t="inlineStr">
        <is>
          <t>+91 88894 44400</t>
        </is>
      </c>
      <c r="G5" s="3" t="inlineStr">
        <is>
          <t>radhika@krishnaunited.com</t>
        </is>
      </c>
      <c r="H5" s="3" t="inlineStr">
        <is>
          <t>Closed</t>
        </is>
      </c>
      <c r="I5" s="4" t="n">
        <v>50000000</v>
      </c>
      <c r="J5" s="3" t="inlineStr"/>
      <c r="K5" s="3" t="inlineStr">
        <is>
          <t>Branding proposal closed.</t>
        </is>
      </c>
    </row>
    <row r="6">
      <c r="A6" s="2" t="inlineStr"/>
      <c r="B6" s="2" t="inlineStr">
        <is>
          <t>Ageasy</t>
        </is>
      </c>
      <c r="C6" s="2" t="inlineStr">
        <is>
          <t>Branding</t>
        </is>
      </c>
      <c r="D6" s="2" t="inlineStr">
        <is>
          <t>Ally</t>
        </is>
      </c>
      <c r="E6" s="2" t="inlineStr">
        <is>
          <t>Arushi</t>
        </is>
      </c>
      <c r="F6" s="2" t="inlineStr">
        <is>
          <t>+91 90134 92656</t>
        </is>
      </c>
      <c r="G6" s="2" t="inlineStr">
        <is>
          <t>arushi.aggarwal@antaraseniorcare.com</t>
        </is>
      </c>
      <c r="H6" s="2" t="inlineStr">
        <is>
          <t>Closed</t>
        </is>
      </c>
      <c r="I6" s="5" t="n">
        <v>40000000</v>
      </c>
      <c r="J6" s="2" t="inlineStr"/>
      <c r="K6" s="2" t="inlineStr">
        <is>
          <t>Proposal shared with the client for review and approval</t>
        </is>
      </c>
    </row>
    <row r="7">
      <c r="A7" s="3" t="inlineStr"/>
      <c r="B7" s="3" t="inlineStr">
        <is>
          <t>KSM Ashwagandha</t>
        </is>
      </c>
      <c r="C7" s="3" t="inlineStr">
        <is>
          <t>Branding, Web</t>
        </is>
      </c>
      <c r="D7" s="3" t="inlineStr">
        <is>
          <t>Tan</t>
        </is>
      </c>
      <c r="E7" s="3" t="inlineStr">
        <is>
          <t>Kartikeya</t>
        </is>
      </c>
      <c r="F7" s="3" t="inlineStr">
        <is>
          <t>+91 98490 30798</t>
        </is>
      </c>
      <c r="G7" s="3" t="inlineStr">
        <is>
          <t>kartikeya@ixoreal.com</t>
        </is>
      </c>
      <c r="H7" s="3" t="inlineStr">
        <is>
          <t>Closed</t>
        </is>
      </c>
      <c r="I7" s="4" t="n">
        <v>32500000</v>
      </c>
      <c r="J7" s="3" t="inlineStr"/>
      <c r="K7" s="3" t="inlineStr">
        <is>
          <t>Project completed.</t>
        </is>
      </c>
    </row>
    <row r="8">
      <c r="A8" s="2" t="inlineStr"/>
      <c r="B8" s="2" t="inlineStr">
        <is>
          <t>Hamleys Cafe</t>
        </is>
      </c>
      <c r="C8" s="2" t="inlineStr">
        <is>
          <t>Campaign</t>
        </is>
      </c>
      <c r="D8" s="2" t="inlineStr">
        <is>
          <t>Ally</t>
        </is>
      </c>
      <c r="E8" s="2" t="inlineStr">
        <is>
          <t>Bala</t>
        </is>
      </c>
      <c r="F8" s="2" t="inlineStr">
        <is>
          <t>+91 98209 64012</t>
        </is>
      </c>
      <c r="G8" s="2" t="inlineStr">
        <is>
          <t>sivaraman.B@ril.com</t>
        </is>
      </c>
      <c r="H8" s="2" t="inlineStr">
        <is>
          <t>Closed</t>
        </is>
      </c>
      <c r="I8" s="5" t="n">
        <v>20000000</v>
      </c>
      <c r="J8" s="2" t="inlineStr"/>
      <c r="K8" s="2" t="inlineStr">
        <is>
          <t>Hamleys Cafe Logo and Guidelines</t>
        </is>
      </c>
    </row>
    <row r="9">
      <c r="A9" s="3" t="inlineStr"/>
      <c r="B9" s="3" t="inlineStr">
        <is>
          <t>Dove</t>
        </is>
      </c>
      <c r="C9" s="3" t="inlineStr">
        <is>
          <t>Branding</t>
        </is>
      </c>
      <c r="D9" s="3" t="inlineStr">
        <is>
          <t>Tan</t>
        </is>
      </c>
      <c r="E9" s="3" t="inlineStr">
        <is>
          <t>Manasee</t>
        </is>
      </c>
      <c r="F9" s="3" t="inlineStr">
        <is>
          <t>+91 98676 42764</t>
        </is>
      </c>
      <c r="G9" s="3" t="inlineStr">
        <is>
          <t>manasee.naik@unilever.com</t>
        </is>
      </c>
      <c r="H9" s="3" t="inlineStr">
        <is>
          <t>Closed</t>
        </is>
      </c>
      <c r="I9" s="4" t="n">
        <v>15000000</v>
      </c>
      <c r="J9" s="3" t="inlineStr"/>
      <c r="K9" s="3" t="inlineStr">
        <is>
          <t>Project completed</t>
        </is>
      </c>
    </row>
    <row r="10">
      <c r="A10" s="2" t="inlineStr"/>
      <c r="B10" s="2" t="inlineStr">
        <is>
          <t>Pears</t>
        </is>
      </c>
      <c r="C10" s="2" t="inlineStr">
        <is>
          <t>Branding</t>
        </is>
      </c>
      <c r="D10" s="2" t="inlineStr">
        <is>
          <t>Tan</t>
        </is>
      </c>
      <c r="E10" s="2" t="inlineStr">
        <is>
          <t>Manasee</t>
        </is>
      </c>
      <c r="F10" s="2" t="inlineStr">
        <is>
          <t>+91 98676 42764</t>
        </is>
      </c>
      <c r="G10" s="2" t="inlineStr">
        <is>
          <t>manasee.naik@unilever.com</t>
        </is>
      </c>
      <c r="H10" s="2" t="inlineStr">
        <is>
          <t>Closed</t>
        </is>
      </c>
      <c r="I10" s="5" t="n">
        <v>15000000</v>
      </c>
      <c r="J10" s="2" t="inlineStr"/>
      <c r="K10" s="2" t="inlineStr">
        <is>
          <t>Project completed</t>
        </is>
      </c>
    </row>
  </sheetData>
  <autoFilter ref="A1:K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196F3"/>
    <outlinePr summaryBelow="1" summaryRight="1"/>
    <pageSetUpPr/>
  </sheetPr>
  <dimension ref="A1:K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5" customWidth="1" min="3" max="3"/>
    <col width="12" customWidth="1" min="4" max="4"/>
    <col width="15" customWidth="1" min="5" max="5"/>
    <col width="17" customWidth="1" min="6" max="6"/>
    <col width="39" customWidth="1" min="7" max="7"/>
    <col width="13" customWidth="1" min="8" max="8"/>
    <col width="13" customWidth="1" min="9" max="9"/>
    <col width="25" customWidth="1" min="10" max="10"/>
    <col width="40" customWidth="1" min="11" max="11"/>
  </cols>
  <sheetData>
    <row r="1">
      <c r="A1" s="1" t="inlineStr">
        <is>
          <t>Date</t>
        </is>
      </c>
      <c r="B1" s="1" t="inlineStr">
        <is>
          <t>Brand Name</t>
        </is>
      </c>
      <c r="C1" s="1" t="inlineStr">
        <is>
          <t>Type of Scope</t>
        </is>
      </c>
      <c r="D1" s="1" t="inlineStr">
        <is>
          <t>Handled by</t>
        </is>
      </c>
      <c r="E1" s="1" t="inlineStr">
        <is>
          <t>POC Name</t>
        </is>
      </c>
      <c r="F1" s="1" t="inlineStr">
        <is>
          <t>Phone</t>
        </is>
      </c>
      <c r="G1" s="1" t="inlineStr">
        <is>
          <t>Email</t>
        </is>
      </c>
      <c r="H1" s="1" t="inlineStr">
        <is>
          <t>Stage</t>
        </is>
      </c>
      <c r="I1" s="1" t="inlineStr">
        <is>
          <t>Costs</t>
        </is>
      </c>
      <c r="J1" s="1" t="inlineStr">
        <is>
          <t>Proposal Date/Follow up</t>
        </is>
      </c>
      <c r="K1" s="1" t="inlineStr">
        <is>
          <t>Status</t>
        </is>
      </c>
    </row>
    <row r="2">
      <c r="A2" s="2" t="inlineStr"/>
      <c r="B2" s="2" t="inlineStr">
        <is>
          <t>CtrlS</t>
        </is>
      </c>
      <c r="C2" s="2" t="inlineStr">
        <is>
          <t>Branding</t>
        </is>
      </c>
      <c r="D2" s="2" t="inlineStr">
        <is>
          <t>Ally</t>
        </is>
      </c>
      <c r="E2" s="2" t="inlineStr">
        <is>
          <t>Pragun</t>
        </is>
      </c>
      <c r="F2" s="2" t="inlineStr">
        <is>
          <t>+91 93729 10823</t>
        </is>
      </c>
      <c r="G2" s="2" t="inlineStr">
        <is>
          <t>pragun.narang@ctrls.in</t>
        </is>
      </c>
      <c r="H2" s="2" t="inlineStr">
        <is>
          <t>Commercials</t>
        </is>
      </c>
      <c r="I2" s="5" t="n">
        <v>350000000</v>
      </c>
      <c r="J2" s="2" t="inlineStr"/>
      <c r="K2" s="2" t="inlineStr">
        <is>
          <t>Client will update us on 14th August since he is on leave.</t>
        </is>
      </c>
    </row>
    <row r="3">
      <c r="A3" s="3" t="inlineStr"/>
      <c r="B3" s="3" t="inlineStr">
        <is>
          <t>Switchback</t>
        </is>
      </c>
      <c r="C3" s="3" t="inlineStr">
        <is>
          <t>Branding</t>
        </is>
      </c>
      <c r="D3" s="3" t="inlineStr">
        <is>
          <t>Ally</t>
        </is>
      </c>
      <c r="E3" s="3" t="inlineStr">
        <is>
          <t>Anushri</t>
        </is>
      </c>
      <c r="F3" s="3" t="inlineStr">
        <is>
          <t>+91 98198 77308</t>
        </is>
      </c>
      <c r="G3" s="3" t="inlineStr">
        <is>
          <t>anushri20@gmail.com</t>
        </is>
      </c>
      <c r="H3" s="3" t="inlineStr">
        <is>
          <t>Commercials</t>
        </is>
      </c>
      <c r="I3" s="4" t="n">
        <v>150000000</v>
      </c>
      <c r="J3" s="3" t="inlineStr"/>
      <c r="K3" s="3" t="inlineStr">
        <is>
          <t>This is cold atm</t>
        </is>
      </c>
    </row>
    <row r="4">
      <c r="A4" s="2" t="inlineStr"/>
      <c r="B4" s="2" t="inlineStr">
        <is>
          <t>Ride Glyde</t>
        </is>
      </c>
      <c r="C4" s="2" t="inlineStr">
        <is>
          <t>Branding</t>
        </is>
      </c>
      <c r="D4" s="2" t="inlineStr">
        <is>
          <t>Ally</t>
        </is>
      </c>
      <c r="E4" s="2" t="inlineStr">
        <is>
          <t>Vignesh</t>
        </is>
      </c>
      <c r="F4" s="2" t="inlineStr">
        <is>
          <t>+91 91369 60544</t>
        </is>
      </c>
      <c r="G4" s="2" t="inlineStr">
        <is>
          <t>vignesh@rideglyde.in</t>
        </is>
      </c>
      <c r="H4" s="2" t="inlineStr">
        <is>
          <t>Commercials</t>
        </is>
      </c>
      <c r="I4" s="5" t="n">
        <v>150000000</v>
      </c>
      <c r="J4" s="2" t="inlineStr"/>
      <c r="K4" s="2" t="inlineStr">
        <is>
          <t>Client pushing marketing a bit for now, focusing on finalising operations.</t>
        </is>
      </c>
    </row>
    <row r="5">
      <c r="A5" s="3" t="inlineStr"/>
      <c r="B5" s="3" t="inlineStr">
        <is>
          <t>Kimirica</t>
        </is>
      </c>
      <c r="C5" s="3" t="inlineStr">
        <is>
          <t>Branding</t>
        </is>
      </c>
      <c r="D5" s="3" t="inlineStr">
        <is>
          <t>Ally</t>
        </is>
      </c>
      <c r="E5" s="3" t="inlineStr">
        <is>
          <t>Saomya</t>
        </is>
      </c>
      <c r="F5" s="3" t="inlineStr">
        <is>
          <t>+91 98930 60926</t>
        </is>
      </c>
      <c r="G5" s="3" t="inlineStr">
        <is>
          <t>soamya.mital@kimirica.com</t>
        </is>
      </c>
      <c r="H5" s="3" t="inlineStr">
        <is>
          <t>Commercials</t>
        </is>
      </c>
      <c r="I5" s="4" t="n">
        <v>150000000</v>
      </c>
      <c r="J5" s="3" t="inlineStr"/>
      <c r="K5" s="3" t="inlineStr">
        <is>
          <t>On hold atm</t>
        </is>
      </c>
    </row>
    <row r="6">
      <c r="A6" s="2" t="inlineStr"/>
      <c r="B6" s="2" t="inlineStr">
        <is>
          <t>KKings Events</t>
        </is>
      </c>
      <c r="C6" s="2" t="inlineStr">
        <is>
          <t>Branding</t>
        </is>
      </c>
      <c r="D6" s="2" t="inlineStr">
        <is>
          <t>Ally</t>
        </is>
      </c>
      <c r="E6" s="2" t="inlineStr">
        <is>
          <t>Ketan</t>
        </is>
      </c>
      <c r="F6" s="2" t="inlineStr"/>
      <c r="G6" s="2" t="inlineStr">
        <is>
          <t>ketan@kkingsevents.com</t>
        </is>
      </c>
      <c r="H6" s="2" t="inlineStr">
        <is>
          <t>Commercials</t>
        </is>
      </c>
      <c r="I6" s="5" t="n">
        <v>130000000</v>
      </c>
      <c r="J6" s="2" t="inlineStr"/>
      <c r="K6" s="2" t="inlineStr">
        <is>
          <t>Proposal shared client to revert on the same.</t>
        </is>
      </c>
    </row>
    <row r="7">
      <c r="A7" s="3" t="inlineStr"/>
      <c r="B7" s="3" t="inlineStr">
        <is>
          <t>Nilambari Sarees</t>
        </is>
      </c>
      <c r="C7" s="3" t="inlineStr">
        <is>
          <t>Branding, Web</t>
        </is>
      </c>
      <c r="D7" s="3" t="inlineStr">
        <is>
          <t>Tan</t>
        </is>
      </c>
      <c r="E7" s="3" t="inlineStr">
        <is>
          <t>Pranav</t>
        </is>
      </c>
      <c r="F7" s="3" t="inlineStr">
        <is>
          <t>+91 88004 77886</t>
        </is>
      </c>
      <c r="G7" s="3" t="inlineStr">
        <is>
          <t>pranavnilambari@gmail.com</t>
        </is>
      </c>
      <c r="H7" s="3" t="inlineStr">
        <is>
          <t>Commercials</t>
        </is>
      </c>
      <c r="I7" s="4" t="n">
        <v>120000000</v>
      </c>
      <c r="J7" s="3" t="inlineStr"/>
      <c r="K7" s="3" t="inlineStr">
        <is>
          <t>He ghosted us.</t>
        </is>
      </c>
    </row>
    <row r="8">
      <c r="A8" s="2" t="inlineStr"/>
      <c r="B8" s="2" t="inlineStr">
        <is>
          <t>Sports Nutrition Brand</t>
        </is>
      </c>
      <c r="C8" s="2" t="inlineStr">
        <is>
          <t>Branding</t>
        </is>
      </c>
      <c r="D8" s="2" t="inlineStr">
        <is>
          <t>Ally</t>
        </is>
      </c>
      <c r="E8" s="2" t="inlineStr">
        <is>
          <t>Shabnam</t>
        </is>
      </c>
      <c r="F8" s="2" t="inlineStr">
        <is>
          <t>+91 97268 82211</t>
        </is>
      </c>
      <c r="G8" s="2" t="inlineStr">
        <is>
          <t>Shabnamhalani8@gmail.com</t>
        </is>
      </c>
      <c r="H8" s="2" t="inlineStr">
        <is>
          <t>Commercials</t>
        </is>
      </c>
      <c r="I8" s="5" t="n">
        <v>115000000</v>
      </c>
      <c r="J8" s="2" t="inlineStr"/>
      <c r="K8" s="2" t="inlineStr">
        <is>
          <t>Follow up done client will get back post the long weekend</t>
        </is>
      </c>
    </row>
    <row r="9">
      <c r="A9" s="3" t="inlineStr"/>
      <c r="B9" s="3" t="inlineStr">
        <is>
          <t>Speedex</t>
        </is>
      </c>
      <c r="C9" s="3" t="inlineStr">
        <is>
          <t>Branding</t>
        </is>
      </c>
      <c r="D9" s="3" t="inlineStr">
        <is>
          <t>Ally</t>
        </is>
      </c>
      <c r="E9" s="3" t="inlineStr">
        <is>
          <t>Dewakar</t>
        </is>
      </c>
      <c r="F9" s="3" t="inlineStr">
        <is>
          <t>+91 99112 02317</t>
        </is>
      </c>
      <c r="G9" s="3" t="inlineStr">
        <is>
          <t>brandmarketer@speedexind.com</t>
        </is>
      </c>
      <c r="H9" s="3" t="inlineStr">
        <is>
          <t>Commercials</t>
        </is>
      </c>
      <c r="I9" s="4" t="n">
        <v>100000000</v>
      </c>
      <c r="J9" s="3" t="inlineStr"/>
      <c r="K9" s="3" t="inlineStr">
        <is>
          <t>Pitch on 26th August</t>
        </is>
      </c>
    </row>
    <row r="10">
      <c r="A10" s="2" t="inlineStr">
        <is>
          <t>12th Feb</t>
        </is>
      </c>
      <c r="B10" s="2" t="inlineStr">
        <is>
          <t>Organic Food Brand</t>
        </is>
      </c>
      <c r="C10" s="2" t="inlineStr">
        <is>
          <t>Branding</t>
        </is>
      </c>
      <c r="D10" s="2" t="inlineStr">
        <is>
          <t>Tan</t>
        </is>
      </c>
      <c r="E10" s="2" t="inlineStr">
        <is>
          <t>Yashraj</t>
        </is>
      </c>
      <c r="F10" s="2" t="inlineStr">
        <is>
          <t>+91 96986 91111</t>
        </is>
      </c>
      <c r="G10" s="2" t="inlineStr">
        <is>
          <t>yashrajsinghtada@gmail.com</t>
        </is>
      </c>
      <c r="H10" s="2" t="inlineStr">
        <is>
          <t>First Call</t>
        </is>
      </c>
      <c r="I10" s="5" t="n">
        <v>100000000</v>
      </c>
      <c r="J10" s="2" t="inlineStr"/>
      <c r="K10" s="2" t="inlineStr">
        <is>
          <t>Yashraj has a budget of 7L for branding and packaging.</t>
        </is>
      </c>
    </row>
    <row r="11">
      <c r="A11" s="3" t="inlineStr">
        <is>
          <t>11th March</t>
        </is>
      </c>
      <c r="B11" s="3" t="inlineStr">
        <is>
          <t>Fabletics</t>
        </is>
      </c>
      <c r="C11" s="3" t="inlineStr">
        <is>
          <t>Branding</t>
        </is>
      </c>
      <c r="D11" s="3" t="inlineStr">
        <is>
          <t>Tan</t>
        </is>
      </c>
      <c r="E11" s="3" t="inlineStr">
        <is>
          <t>Roshni</t>
        </is>
      </c>
      <c r="F11" s="3" t="inlineStr">
        <is>
          <t>+91 95799 39636</t>
        </is>
      </c>
      <c r="G11" s="3" t="inlineStr"/>
      <c r="H11" s="3" t="inlineStr">
        <is>
          <t>Commercials</t>
        </is>
      </c>
      <c r="I11" s="4" t="n">
        <v>30000000</v>
      </c>
      <c r="J11" s="3" t="inlineStr"/>
      <c r="K11" s="3" t="inlineStr">
        <is>
          <t>Need to send the proposal today.</t>
        </is>
      </c>
    </row>
    <row r="12">
      <c r="A12" s="2" t="inlineStr">
        <is>
          <t>22nd Jan</t>
        </is>
      </c>
      <c r="B12" s="2" t="inlineStr">
        <is>
          <t>Project Ezza</t>
        </is>
      </c>
      <c r="C12" s="2" t="inlineStr">
        <is>
          <t>Branding, Web</t>
        </is>
      </c>
      <c r="D12" s="2" t="inlineStr">
        <is>
          <t>Ally</t>
        </is>
      </c>
      <c r="E12" s="2" t="inlineStr">
        <is>
          <t>Dimpy</t>
        </is>
      </c>
      <c r="F12" s="2" t="inlineStr">
        <is>
          <t>+91 99202 74266</t>
        </is>
      </c>
      <c r="G12" s="2" t="inlineStr"/>
      <c r="H12" s="2" t="inlineStr">
        <is>
          <t>Commercials</t>
        </is>
      </c>
      <c r="I12" s="5" t="n">
        <v>550000</v>
      </c>
      <c r="J12" s="2" t="inlineStr"/>
      <c r="K12" s="2" t="inlineStr">
        <is>
          <t>Proposal has been shared with the client for website.</t>
        </is>
      </c>
    </row>
    <row r="13">
      <c r="A13" s="3" t="inlineStr"/>
      <c r="B13" s="3" t="inlineStr">
        <is>
          <t>Scapes Hospitality</t>
        </is>
      </c>
      <c r="C13" s="3" t="inlineStr">
        <is>
          <t>SMM, Web</t>
        </is>
      </c>
      <c r="D13" s="3" t="inlineStr">
        <is>
          <t>Tan</t>
        </is>
      </c>
      <c r="E13" s="3" t="inlineStr">
        <is>
          <t>Aastha</t>
        </is>
      </c>
      <c r="F13" s="3" t="inlineStr">
        <is>
          <t>+91 81300 01729</t>
        </is>
      </c>
      <c r="G13" s="3" t="inlineStr">
        <is>
          <t>aastha@scapeshospitality.com</t>
        </is>
      </c>
      <c r="H13" s="3" t="inlineStr">
        <is>
          <t>Commercials</t>
        </is>
      </c>
      <c r="I13" s="3" t="inlineStr"/>
      <c r="J13" s="3" t="inlineStr"/>
      <c r="K13" s="3" t="inlineStr">
        <is>
          <t>Project was on hold.</t>
        </is>
      </c>
    </row>
    <row r="14">
      <c r="A14" s="2" t="inlineStr"/>
      <c r="B14" s="2" t="inlineStr">
        <is>
          <t>Pantaloons</t>
        </is>
      </c>
      <c r="C14" s="2" t="inlineStr">
        <is>
          <t>Branding</t>
        </is>
      </c>
      <c r="D14" s="2" t="inlineStr">
        <is>
          <t>Ally</t>
        </is>
      </c>
      <c r="E14" s="2" t="inlineStr">
        <is>
          <t>Namit</t>
        </is>
      </c>
      <c r="F14" s="2" t="inlineStr">
        <is>
          <t>+91 88795 02010</t>
        </is>
      </c>
      <c r="G14" s="2" t="inlineStr">
        <is>
          <t>namit.jaiswal@abfrl.adityabirla.com</t>
        </is>
      </c>
      <c r="H14" s="2" t="inlineStr">
        <is>
          <t>Pitch</t>
        </is>
      </c>
      <c r="I14" s="2" t="inlineStr">
        <is>
          <t>TBD</t>
        </is>
      </c>
      <c r="J14" s="2" t="inlineStr"/>
      <c r="K14" s="2" t="inlineStr">
        <is>
          <t>Rate card has been shared with the client. Client to get back</t>
        </is>
      </c>
    </row>
    <row r="15">
      <c r="A15" s="3" t="inlineStr"/>
      <c r="B15" s="3" t="inlineStr">
        <is>
          <t>XOBO</t>
        </is>
      </c>
      <c r="C15" s="3" t="inlineStr">
        <is>
          <t>Branding</t>
        </is>
      </c>
      <c r="D15" s="3" t="inlineStr">
        <is>
          <t>Ally</t>
        </is>
      </c>
      <c r="E15" s="3" t="inlineStr">
        <is>
          <t>Kunal</t>
        </is>
      </c>
      <c r="F15" s="3" t="inlineStr">
        <is>
          <t>+91 99601 00100</t>
        </is>
      </c>
      <c r="G15" s="3" t="inlineStr">
        <is>
          <t>kunaljain.vega@gmail.com</t>
        </is>
      </c>
      <c r="H15" s="3" t="inlineStr">
        <is>
          <t>Pitch</t>
        </is>
      </c>
      <c r="I15" s="3" t="inlineStr"/>
      <c r="J15" s="3" t="inlineStr"/>
      <c r="K15" s="3" t="inlineStr">
        <is>
          <t>Proposal under review.</t>
        </is>
      </c>
    </row>
    <row r="16">
      <c r="A16" s="2" t="inlineStr"/>
      <c r="B16" s="2" t="inlineStr">
        <is>
          <t>Komyo Wellness</t>
        </is>
      </c>
      <c r="C16" s="2" t="inlineStr">
        <is>
          <t>Web</t>
        </is>
      </c>
      <c r="D16" s="2" t="inlineStr">
        <is>
          <t>Ally</t>
        </is>
      </c>
      <c r="E16" s="2" t="inlineStr">
        <is>
          <t>Aditi</t>
        </is>
      </c>
      <c r="F16" s="2" t="inlineStr">
        <is>
          <t>+91 98110 29230</t>
        </is>
      </c>
      <c r="G16" s="2" t="inlineStr">
        <is>
          <t>aditi@Komyo.in</t>
        </is>
      </c>
      <c r="H16" s="2" t="inlineStr">
        <is>
          <t>Commercials</t>
        </is>
      </c>
      <c r="I16" s="2" t="inlineStr"/>
      <c r="J16" s="2" t="inlineStr"/>
      <c r="K16" s="2" t="inlineStr">
        <is>
          <t>Client to get back on the proposal</t>
        </is>
      </c>
    </row>
    <row r="17">
      <c r="A17" s="3" t="inlineStr"/>
      <c r="B17" s="3" t="inlineStr">
        <is>
          <t>Kaafi Machine</t>
        </is>
      </c>
      <c r="C17" s="3" t="inlineStr">
        <is>
          <t>Branding</t>
        </is>
      </c>
      <c r="D17" s="3" t="inlineStr">
        <is>
          <t>Ally</t>
        </is>
      </c>
      <c r="E17" s="3" t="inlineStr">
        <is>
          <t>Anurag</t>
        </is>
      </c>
      <c r="F17" s="3" t="inlineStr"/>
      <c r="G17" s="3" t="inlineStr">
        <is>
          <t>anurag.das@kaapimachines.com</t>
        </is>
      </c>
      <c r="H17" s="3" t="inlineStr">
        <is>
          <t>Pitch</t>
        </is>
      </c>
      <c r="I17" s="3" t="inlineStr">
        <is>
          <t>TBD</t>
        </is>
      </c>
      <c r="J17" s="3" t="inlineStr"/>
      <c r="K17" s="3" t="inlineStr">
        <is>
          <t>Anurag to get back on the call timing</t>
        </is>
      </c>
    </row>
    <row r="18">
      <c r="A18" s="2" t="inlineStr"/>
      <c r="B18" s="2" t="inlineStr">
        <is>
          <t>House of Swadehi</t>
        </is>
      </c>
      <c r="C18" s="2" t="inlineStr">
        <is>
          <t>Branding</t>
        </is>
      </c>
      <c r="D18" s="2" t="inlineStr">
        <is>
          <t>Ally</t>
        </is>
      </c>
      <c r="E18" s="2" t="inlineStr"/>
      <c r="F18" s="2" t="inlineStr"/>
      <c r="G18" s="2" t="inlineStr">
        <is>
          <t>houseofswadeshiofficial@gmail.com</t>
        </is>
      </c>
      <c r="H18" s="2" t="inlineStr">
        <is>
          <t>First Call</t>
        </is>
      </c>
      <c r="I18" s="2" t="inlineStr">
        <is>
          <t>TBD</t>
        </is>
      </c>
      <c r="J18" s="2" t="inlineStr"/>
      <c r="K18" s="2" t="inlineStr">
        <is>
          <t>Have requested for a call time to discuss the Logo development project.</t>
        </is>
      </c>
    </row>
    <row r="19">
      <c r="A19" s="3" t="inlineStr"/>
      <c r="B19" s="3" t="inlineStr">
        <is>
          <t>Saanya</t>
        </is>
      </c>
      <c r="C19" s="3" t="inlineStr">
        <is>
          <t>Web</t>
        </is>
      </c>
      <c r="D19" s="3" t="inlineStr">
        <is>
          <t>Ally</t>
        </is>
      </c>
      <c r="E19" s="3" t="inlineStr"/>
      <c r="F19" s="3" t="inlineStr">
        <is>
          <t>+91 93100 00663</t>
        </is>
      </c>
      <c r="G19" s="3" t="inlineStr">
        <is>
          <t>saanyabjain@gmail.com</t>
        </is>
      </c>
      <c r="H19" s="3" t="inlineStr">
        <is>
          <t>First Call</t>
        </is>
      </c>
      <c r="I19" s="3" t="inlineStr">
        <is>
          <t>TBD</t>
        </is>
      </c>
      <c r="J19" s="3" t="inlineStr"/>
      <c r="K19" s="3" t="inlineStr">
        <is>
          <t>She wants to see the backend work on the developer</t>
        </is>
      </c>
    </row>
    <row r="20">
      <c r="A20" s="2" t="inlineStr"/>
      <c r="B20" s="2" t="inlineStr">
        <is>
          <t>Ruloans</t>
        </is>
      </c>
      <c r="C20" s="2" t="inlineStr">
        <is>
          <t>Campaign</t>
        </is>
      </c>
      <c r="D20" s="2" t="inlineStr">
        <is>
          <t>Ally</t>
        </is>
      </c>
      <c r="E20" s="2" t="inlineStr">
        <is>
          <t>Shikha</t>
        </is>
      </c>
      <c r="F20" s="2" t="inlineStr"/>
      <c r="G20" s="2" t="inlineStr">
        <is>
          <t>shikha.mehta@ruloans.com</t>
        </is>
      </c>
      <c r="H20" s="2" t="inlineStr">
        <is>
          <t>Commercials</t>
        </is>
      </c>
      <c r="I20" s="2" t="inlineStr">
        <is>
          <t>TBD</t>
        </is>
      </c>
      <c r="J20" s="2" t="inlineStr"/>
      <c r="K20" s="2" t="inlineStr">
        <is>
          <t>In-person meet at the client office</t>
        </is>
      </c>
    </row>
    <row r="21">
      <c r="A21" s="3" t="inlineStr"/>
      <c r="B21" s="3" t="inlineStr">
        <is>
          <t>Humane World For Animals</t>
        </is>
      </c>
      <c r="C21" s="3" t="inlineStr">
        <is>
          <t>Creatives</t>
        </is>
      </c>
      <c r="D21" s="3" t="inlineStr">
        <is>
          <t>Ally</t>
        </is>
      </c>
      <c r="E21" s="3" t="inlineStr">
        <is>
          <t>Shreya</t>
        </is>
      </c>
      <c r="F21" s="3" t="inlineStr">
        <is>
          <t>+91 63589 13490</t>
        </is>
      </c>
      <c r="G21" s="3" t="inlineStr">
        <is>
          <t>sswaminath@humaneworld.org</t>
        </is>
      </c>
      <c r="H21" s="3" t="inlineStr">
        <is>
          <t>First Call</t>
        </is>
      </c>
      <c r="I21" s="3" t="inlineStr">
        <is>
          <t>TBD</t>
        </is>
      </c>
      <c r="J21" s="3" t="inlineStr"/>
      <c r="K21" s="3" t="inlineStr">
        <is>
          <t>revised proposal to be shared for print and outdoor</t>
        </is>
      </c>
    </row>
    <row r="22">
      <c r="A22" s="2" t="inlineStr"/>
      <c r="B22" s="2" t="inlineStr">
        <is>
          <t>Anahata</t>
        </is>
      </c>
      <c r="C22" s="2" t="inlineStr"/>
      <c r="D22" s="2" t="inlineStr">
        <is>
          <t>Ally</t>
        </is>
      </c>
      <c r="E22" s="2" t="inlineStr">
        <is>
          <t>Cecilia</t>
        </is>
      </c>
      <c r="F22" s="2" t="inlineStr">
        <is>
          <t>+91 98205 33332</t>
        </is>
      </c>
      <c r="G22" s="2" t="inlineStr">
        <is>
          <t>admin@anahata.in</t>
        </is>
      </c>
      <c r="H22" s="2" t="inlineStr">
        <is>
          <t>First Call</t>
        </is>
      </c>
      <c r="I22" s="2" t="inlineStr"/>
      <c r="J22" s="2" t="inlineStr"/>
      <c r="K22" s="2" t="inlineStr">
        <is>
          <t>she will call back</t>
        </is>
      </c>
    </row>
    <row r="23">
      <c r="A23" s="3" t="inlineStr"/>
      <c r="B23" s="3" t="inlineStr">
        <is>
          <t>Sambhav Group</t>
        </is>
      </c>
      <c r="C23" s="3" t="inlineStr">
        <is>
          <t>Web</t>
        </is>
      </c>
      <c r="D23" s="3" t="inlineStr">
        <is>
          <t>Tan</t>
        </is>
      </c>
      <c r="E23" s="3" t="inlineStr">
        <is>
          <t>Megha</t>
        </is>
      </c>
      <c r="F23" s="3" t="inlineStr">
        <is>
          <t>+91 90049 86631</t>
        </is>
      </c>
      <c r="G23" s="3" t="inlineStr">
        <is>
          <t>media@sambhavgroup.co.in</t>
        </is>
      </c>
      <c r="H23" s="3" t="inlineStr">
        <is>
          <t>Commercials</t>
        </is>
      </c>
      <c r="I23" s="3" t="inlineStr"/>
      <c r="J23" s="3" t="inlineStr"/>
      <c r="K23" s="3" t="inlineStr">
        <is>
          <t>Project was on hold.</t>
        </is>
      </c>
    </row>
    <row r="24">
      <c r="A24" s="2" t="inlineStr"/>
      <c r="B24" s="2" t="inlineStr">
        <is>
          <t>Cool Planet</t>
        </is>
      </c>
      <c r="C24" s="2" t="inlineStr">
        <is>
          <t>Branding</t>
        </is>
      </c>
      <c r="D24" s="2" t="inlineStr">
        <is>
          <t>Ally</t>
        </is>
      </c>
      <c r="E24" s="2" t="inlineStr">
        <is>
          <t>Rizqi</t>
        </is>
      </c>
      <c r="F24" s="2" t="inlineStr">
        <is>
          <t>+94777653936</t>
        </is>
      </c>
      <c r="G24" s="2" t="inlineStr">
        <is>
          <t>qi@coolplanet.lk</t>
        </is>
      </c>
      <c r="H24" s="2" t="inlineStr">
        <is>
          <t>Commercials</t>
        </is>
      </c>
      <c r="I24" s="2" t="inlineStr">
        <is>
          <t>TBD</t>
        </is>
      </c>
      <c r="J24" s="2" t="inlineStr"/>
      <c r="K24" s="2" t="inlineStr"/>
    </row>
    <row r="25">
      <c r="A25" s="3" t="inlineStr"/>
      <c r="B25" s="3" t="inlineStr">
        <is>
          <t>Voltas</t>
        </is>
      </c>
      <c r="C25" s="3" t="inlineStr">
        <is>
          <t>Branding</t>
        </is>
      </c>
      <c r="D25" s="3" t="inlineStr">
        <is>
          <t>Tan</t>
        </is>
      </c>
      <c r="E25" s="3" t="inlineStr">
        <is>
          <t>Gayathri</t>
        </is>
      </c>
      <c r="F25" s="3" t="inlineStr">
        <is>
          <t>+91 96006 56773</t>
        </is>
      </c>
      <c r="G25" s="3" t="inlineStr">
        <is>
          <t>gayathrinarendran@voltas.com</t>
        </is>
      </c>
      <c r="H25" s="3" t="inlineStr">
        <is>
          <t>First Call</t>
        </is>
      </c>
      <c r="I25" s="3" t="inlineStr"/>
      <c r="J25" s="3" t="inlineStr"/>
      <c r="K25" s="3" t="inlineStr">
        <is>
          <t>Client ghosted us.</t>
        </is>
      </c>
    </row>
    <row r="26">
      <c r="A26" s="2" t="inlineStr"/>
      <c r="B26" s="2" t="inlineStr">
        <is>
          <t>A Class Marble</t>
        </is>
      </c>
      <c r="C26" s="2" t="inlineStr">
        <is>
          <t>Web</t>
        </is>
      </c>
      <c r="D26" s="2" t="inlineStr">
        <is>
          <t>Tan</t>
        </is>
      </c>
      <c r="E26" s="2" t="inlineStr">
        <is>
          <t>Shivani</t>
        </is>
      </c>
      <c r="F26" s="2" t="inlineStr">
        <is>
          <t>+91 72900 73527</t>
        </is>
      </c>
      <c r="G26" s="2" t="inlineStr">
        <is>
          <t>branding@aclassmarble.co.in</t>
        </is>
      </c>
      <c r="H26" s="2" t="inlineStr">
        <is>
          <t>Commercials</t>
        </is>
      </c>
      <c r="I26" s="2" t="inlineStr"/>
      <c r="J26" s="2" t="inlineStr"/>
      <c r="K26" s="2" t="inlineStr">
        <is>
          <t>Project on hold</t>
        </is>
      </c>
    </row>
    <row r="27">
      <c r="A27" s="3" t="inlineStr"/>
      <c r="B27" s="3" t="inlineStr">
        <is>
          <t>Rameswaram cafe</t>
        </is>
      </c>
      <c r="C27" s="3" t="inlineStr">
        <is>
          <t>Branding</t>
        </is>
      </c>
      <c r="D27" s="3" t="inlineStr">
        <is>
          <t>Tan</t>
        </is>
      </c>
      <c r="E27" s="3" t="inlineStr">
        <is>
          <t>Pooja</t>
        </is>
      </c>
      <c r="F27" s="3" t="inlineStr">
        <is>
          <t>+91 89281 91088</t>
        </is>
      </c>
      <c r="G27" s="3" t="inlineStr">
        <is>
          <t>pooja.u@seabird.co.in</t>
        </is>
      </c>
      <c r="H27" s="3" t="inlineStr">
        <is>
          <t>Commercials</t>
        </is>
      </c>
      <c r="I27" s="3" t="inlineStr"/>
      <c r="J27" s="3" t="inlineStr"/>
      <c r="K27" s="3" t="inlineStr">
        <is>
          <t>They ghosted us.</t>
        </is>
      </c>
    </row>
    <row r="28">
      <c r="A28" s="2" t="inlineStr"/>
      <c r="B28" s="2" t="inlineStr">
        <is>
          <t>Sony Music</t>
        </is>
      </c>
      <c r="C28" s="2" t="inlineStr">
        <is>
          <t>Branding</t>
        </is>
      </c>
      <c r="D28" s="2" t="inlineStr">
        <is>
          <t>Ally</t>
        </is>
      </c>
      <c r="E28" s="2" t="inlineStr">
        <is>
          <t>Samarth</t>
        </is>
      </c>
      <c r="F28" s="2" t="inlineStr">
        <is>
          <t>+91 77220 36793</t>
        </is>
      </c>
      <c r="G28" s="2" t="inlineStr">
        <is>
          <t>samarth.manocha@sonymusic.com</t>
        </is>
      </c>
      <c r="H28" s="2" t="inlineStr">
        <is>
          <t>Commercials</t>
        </is>
      </c>
      <c r="I28" s="2" t="inlineStr"/>
      <c r="J28" s="2" t="inlineStr"/>
      <c r="K28" s="2" t="inlineStr">
        <is>
          <t>Proposal shared. Client to get back</t>
        </is>
      </c>
    </row>
    <row r="29">
      <c r="A29" s="3" t="inlineStr"/>
      <c r="B29" s="3" t="inlineStr">
        <is>
          <t>ECCO</t>
        </is>
      </c>
      <c r="C29" s="3" t="inlineStr">
        <is>
          <t>Branding</t>
        </is>
      </c>
      <c r="D29" s="3" t="inlineStr">
        <is>
          <t>Ally</t>
        </is>
      </c>
      <c r="E29" s="3" t="inlineStr">
        <is>
          <t>Inza</t>
        </is>
      </c>
      <c r="F29" s="3" t="inlineStr">
        <is>
          <t>+91 96193 40027</t>
        </is>
      </c>
      <c r="G29" s="3" t="inlineStr">
        <is>
          <t>INN@ecco.com</t>
        </is>
      </c>
      <c r="H29" s="3" t="inlineStr">
        <is>
          <t>Commercials</t>
        </is>
      </c>
      <c r="I29" s="3" t="inlineStr"/>
      <c r="J29" s="3" t="inlineStr"/>
      <c r="K29" s="3" t="inlineStr">
        <is>
          <t>Revised proposal discussion to happen basis the deliverables requested by the client.</t>
        </is>
      </c>
    </row>
    <row r="30">
      <c r="A30" s="2" t="inlineStr"/>
      <c r="B30" s="2" t="inlineStr">
        <is>
          <t>Upadhyaya Foundation</t>
        </is>
      </c>
      <c r="C30" s="2" t="inlineStr">
        <is>
          <t>Branding</t>
        </is>
      </c>
      <c r="D30" s="2" t="inlineStr">
        <is>
          <t>Ally</t>
        </is>
      </c>
      <c r="E30" s="2" t="inlineStr">
        <is>
          <t>Preetham</t>
        </is>
      </c>
      <c r="F30" s="2" t="inlineStr">
        <is>
          <t>+91 94837 80058</t>
        </is>
      </c>
      <c r="G30" s="2" t="inlineStr">
        <is>
          <t>preetham@upadhyayafoundation.org</t>
        </is>
      </c>
      <c r="H30" s="2" t="inlineStr">
        <is>
          <t>Commercials</t>
        </is>
      </c>
      <c r="I30" s="2" t="inlineStr"/>
      <c r="J30" s="2" t="inlineStr"/>
      <c r="K30" s="2" t="inlineStr">
        <is>
          <t>Proposal shared with the client.</t>
        </is>
      </c>
    </row>
    <row r="31">
      <c r="A31" s="3" t="inlineStr"/>
      <c r="B31" s="3" t="inlineStr">
        <is>
          <t>Dainik Bhaskar Pet Care</t>
        </is>
      </c>
      <c r="C31" s="3" t="inlineStr">
        <is>
          <t>Branding</t>
        </is>
      </c>
      <c r="D31" s="3" t="inlineStr">
        <is>
          <t>Tan</t>
        </is>
      </c>
      <c r="E31" s="3" t="inlineStr">
        <is>
          <t>Diva</t>
        </is>
      </c>
      <c r="F31" s="3" t="inlineStr">
        <is>
          <t>-</t>
        </is>
      </c>
      <c r="G31" s="3" t="inlineStr">
        <is>
          <t>diva@dbdigital.in</t>
        </is>
      </c>
      <c r="H31" s="3" t="inlineStr">
        <is>
          <t>First Call</t>
        </is>
      </c>
      <c r="I31" s="3" t="inlineStr"/>
      <c r="J31" s="3" t="inlineStr"/>
      <c r="K31" s="3" t="inlineStr">
        <is>
          <t>Ghosted us because of commercials I guess</t>
        </is>
      </c>
    </row>
    <row r="32">
      <c r="A32" s="2" t="inlineStr"/>
      <c r="B32" s="2" t="inlineStr">
        <is>
          <t>Everfruit</t>
        </is>
      </c>
      <c r="C32" s="2" t="inlineStr">
        <is>
          <t>Branding</t>
        </is>
      </c>
      <c r="D32" s="2" t="inlineStr">
        <is>
          <t>Ally</t>
        </is>
      </c>
      <c r="E32" s="2" t="inlineStr">
        <is>
          <t>Piyush</t>
        </is>
      </c>
      <c r="F32" s="2" t="inlineStr">
        <is>
          <t>+91 95616 21164</t>
        </is>
      </c>
      <c r="G32" s="2" t="inlineStr">
        <is>
          <t>piyush.parakh@everfruit.in</t>
        </is>
      </c>
      <c r="H32" s="2" t="inlineStr">
        <is>
          <t>Commercials</t>
        </is>
      </c>
      <c r="I32" s="2" t="inlineStr"/>
      <c r="J32" s="2" t="inlineStr"/>
      <c r="K32" s="2" t="inlineStr">
        <is>
          <t>Proposal shared with the client.</t>
        </is>
      </c>
    </row>
    <row r="33">
      <c r="A33" s="3" t="inlineStr"/>
      <c r="B33" s="3" t="inlineStr">
        <is>
          <t>Big FM</t>
        </is>
      </c>
      <c r="C33" s="3" t="inlineStr">
        <is>
          <t>Branding</t>
        </is>
      </c>
      <c r="D33" s="3" t="inlineStr">
        <is>
          <t>Ally</t>
        </is>
      </c>
      <c r="E33" s="3" t="inlineStr">
        <is>
          <t>Soha</t>
        </is>
      </c>
      <c r="F33" s="3" t="inlineStr">
        <is>
          <t>+91 99905 90444</t>
        </is>
      </c>
      <c r="G33" s="3" t="inlineStr">
        <is>
          <t>akanksha.goel@weinvert.com</t>
        </is>
      </c>
      <c r="H33" s="3" t="inlineStr">
        <is>
          <t>Commercials</t>
        </is>
      </c>
      <c r="I33" s="3" t="inlineStr"/>
      <c r="J33" s="3" t="inlineStr"/>
      <c r="K33" s="3" t="inlineStr">
        <is>
          <t>RFP shared with the client.</t>
        </is>
      </c>
    </row>
    <row r="34">
      <c r="A34" s="2" t="inlineStr"/>
      <c r="B34" s="2" t="inlineStr">
        <is>
          <t>Amaya</t>
        </is>
      </c>
      <c r="C34" s="2" t="inlineStr">
        <is>
          <t>Web</t>
        </is>
      </c>
      <c r="D34" s="2" t="inlineStr">
        <is>
          <t>Ally</t>
        </is>
      </c>
      <c r="E34" s="2" t="inlineStr">
        <is>
          <t>Akshi</t>
        </is>
      </c>
      <c r="F34" s="2" t="inlineStr">
        <is>
          <t>+91 96431 22358</t>
        </is>
      </c>
      <c r="G34" s="2" t="inlineStr">
        <is>
          <t>aakshi.katyal@gmail.com</t>
        </is>
      </c>
      <c r="H34" s="2" t="inlineStr">
        <is>
          <t>Commercials</t>
        </is>
      </c>
      <c r="I34" s="2" t="inlineStr"/>
      <c r="J34" s="2" t="inlineStr"/>
      <c r="K34" s="2" t="inlineStr">
        <is>
          <t>Proposal and pitch for the 24th October.</t>
        </is>
      </c>
    </row>
    <row r="35">
      <c r="A35" s="3" t="inlineStr"/>
      <c r="B35" s="3" t="inlineStr">
        <is>
          <t>Peruh</t>
        </is>
      </c>
      <c r="C35" s="3" t="inlineStr">
        <is>
          <t>Branding</t>
        </is>
      </c>
      <c r="D35" s="3" t="inlineStr">
        <is>
          <t>Tan</t>
        </is>
      </c>
      <c r="E35" s="3" t="inlineStr">
        <is>
          <t>Prerna</t>
        </is>
      </c>
      <c r="F35" s="3" t="inlineStr"/>
      <c r="G35" s="3" t="inlineStr">
        <is>
          <t>prerna@peruhworld.com</t>
        </is>
      </c>
      <c r="H35" s="3" t="inlineStr">
        <is>
          <t>First Call</t>
        </is>
      </c>
      <c r="I35" s="3" t="inlineStr"/>
      <c r="J35" s="3" t="inlineStr"/>
      <c r="K35" s="3" t="inlineStr">
        <is>
          <t>Ghosted us</t>
        </is>
      </c>
    </row>
    <row r="36">
      <c r="A36" s="2" t="inlineStr"/>
      <c r="B36" s="2" t="inlineStr">
        <is>
          <t>Jawa</t>
        </is>
      </c>
      <c r="C36" s="2" t="inlineStr">
        <is>
          <t>Branding</t>
        </is>
      </c>
      <c r="D36" s="2" t="inlineStr">
        <is>
          <t>Ally</t>
        </is>
      </c>
      <c r="E36" s="2" t="inlineStr">
        <is>
          <t>Samir Gokhale</t>
        </is>
      </c>
      <c r="F36" s="2" t="inlineStr">
        <is>
          <t>+91 99210 03800</t>
        </is>
      </c>
      <c r="G36" s="2" t="inlineStr">
        <is>
          <t>gokhale.samir@classiclegends.com</t>
        </is>
      </c>
      <c r="H36" s="2" t="inlineStr">
        <is>
          <t>First Call</t>
        </is>
      </c>
      <c r="I36" s="2" t="inlineStr"/>
      <c r="J36" s="2" t="inlineStr"/>
      <c r="K36" s="2" t="inlineStr">
        <is>
          <t>Blueprint to be shared with the client basis the last pitch</t>
        </is>
      </c>
    </row>
    <row r="37">
      <c r="A37" s="3" t="inlineStr"/>
      <c r="B37" s="3" t="inlineStr">
        <is>
          <t>Volfsbane</t>
        </is>
      </c>
      <c r="C37" s="3" t="inlineStr">
        <is>
          <t>Web</t>
        </is>
      </c>
      <c r="D37" s="3" t="inlineStr">
        <is>
          <t>Ally</t>
        </is>
      </c>
      <c r="E37" s="3" t="inlineStr">
        <is>
          <t>Mansi</t>
        </is>
      </c>
      <c r="F37" s="3" t="inlineStr"/>
      <c r="G37" s="3" t="inlineStr">
        <is>
          <t>mansi@volfsbane.com</t>
        </is>
      </c>
      <c r="H37" s="3" t="inlineStr">
        <is>
          <t>Commercials</t>
        </is>
      </c>
      <c r="I37" s="3" t="inlineStr"/>
      <c r="J37" s="3" t="inlineStr"/>
      <c r="K37" s="3" t="inlineStr">
        <is>
          <t>Website branding proposal shared. Awaiting response.</t>
        </is>
      </c>
    </row>
    <row r="38">
      <c r="A38" s="2" t="inlineStr"/>
      <c r="B38" s="2" t="inlineStr">
        <is>
          <t>Asian Star</t>
        </is>
      </c>
      <c r="C38" s="2" t="inlineStr">
        <is>
          <t>Branding</t>
        </is>
      </c>
      <c r="D38" s="2" t="inlineStr">
        <is>
          <t>Ally</t>
        </is>
      </c>
      <c r="E38" s="2" t="inlineStr">
        <is>
          <t>Ryan</t>
        </is>
      </c>
      <c r="F38" s="2" t="inlineStr">
        <is>
          <t>+91 98205 07257</t>
        </is>
      </c>
      <c r="G38" s="2" t="inlineStr">
        <is>
          <t>ryan@asianstargroup.com</t>
        </is>
      </c>
      <c r="H38" s="2" t="inlineStr">
        <is>
          <t>First Call</t>
        </is>
      </c>
      <c r="I38" s="2" t="inlineStr"/>
      <c r="J38" s="2" t="inlineStr"/>
      <c r="K38" s="2" t="inlineStr">
        <is>
          <t>CTR back on the proposal shared</t>
        </is>
      </c>
    </row>
    <row r="39">
      <c r="A39" s="3" t="inlineStr"/>
      <c r="B39" s="3" t="inlineStr">
        <is>
          <t>Samarya</t>
        </is>
      </c>
      <c r="C39" s="3" t="inlineStr">
        <is>
          <t>Branding</t>
        </is>
      </c>
      <c r="D39" s="3" t="inlineStr">
        <is>
          <t>Ally</t>
        </is>
      </c>
      <c r="E39" s="3" t="inlineStr">
        <is>
          <t>Aryan</t>
        </is>
      </c>
      <c r="F39" s="3" t="inlineStr">
        <is>
          <t>+91 91378 09177</t>
        </is>
      </c>
      <c r="G39" s="3" t="inlineStr">
        <is>
          <t>aryan.ruia@samaryamedia.com</t>
        </is>
      </c>
      <c r="H39" s="3" t="inlineStr">
        <is>
          <t>Commercials</t>
        </is>
      </c>
      <c r="I39" s="3" t="inlineStr"/>
      <c r="J39" s="3" t="inlineStr"/>
      <c r="K39" s="3" t="inlineStr">
        <is>
          <t>Logo Design Proposal shared with the client.</t>
        </is>
      </c>
    </row>
    <row r="40">
      <c r="A40" s="2" t="inlineStr"/>
      <c r="B40" s="2" t="inlineStr">
        <is>
          <t>Seedwater</t>
        </is>
      </c>
      <c r="C40" s="2" t="inlineStr">
        <is>
          <t>Branding</t>
        </is>
      </c>
      <c r="D40" s="2" t="inlineStr">
        <is>
          <t>Ally</t>
        </is>
      </c>
      <c r="E40" s="2" t="inlineStr">
        <is>
          <t>Vivek</t>
        </is>
      </c>
      <c r="F40" s="2" t="inlineStr">
        <is>
          <t>+91 98197 11218</t>
        </is>
      </c>
      <c r="G40" s="2" t="inlineStr">
        <is>
          <t>vivek@seedwtr.com</t>
        </is>
      </c>
      <c r="H40" s="2" t="inlineStr">
        <is>
          <t>Commercials</t>
        </is>
      </c>
      <c r="I40" s="2" t="inlineStr"/>
      <c r="J40" s="2" t="inlineStr"/>
      <c r="K40" s="2" t="inlineStr">
        <is>
          <t>CTR on the proposal shared</t>
        </is>
      </c>
    </row>
    <row r="41">
      <c r="A41" s="3" t="inlineStr"/>
      <c r="B41" s="3" t="inlineStr">
        <is>
          <t>Quartroloom</t>
        </is>
      </c>
      <c r="C41" s="3" t="inlineStr">
        <is>
          <t>Branding</t>
        </is>
      </c>
      <c r="D41" s="3" t="inlineStr">
        <is>
          <t>Ally</t>
        </is>
      </c>
      <c r="E41" s="3" t="inlineStr">
        <is>
          <t>Avase</t>
        </is>
      </c>
      <c r="F41" s="3" t="inlineStr">
        <is>
          <t>+91 88676 58800</t>
        </is>
      </c>
      <c r="G41" s="3" t="inlineStr">
        <is>
          <t>avase@quartoloom.com</t>
        </is>
      </c>
      <c r="H41" s="3" t="inlineStr">
        <is>
          <t>Commercials</t>
        </is>
      </c>
      <c r="I41" s="3" t="inlineStr"/>
      <c r="J41" s="3" t="inlineStr"/>
      <c r="K41" s="3" t="inlineStr">
        <is>
          <t>CTR on the proposal shared</t>
        </is>
      </c>
    </row>
    <row r="42">
      <c r="A42" s="2" t="inlineStr"/>
      <c r="B42" s="2" t="inlineStr">
        <is>
          <t>Rajhem Jewellers</t>
        </is>
      </c>
      <c r="C42" s="2" t="inlineStr">
        <is>
          <t>Branding</t>
        </is>
      </c>
      <c r="D42" s="2" t="inlineStr">
        <is>
          <t>Ally</t>
        </is>
      </c>
      <c r="E42" s="2" t="inlineStr">
        <is>
          <t>Ritik</t>
        </is>
      </c>
      <c r="F42" s="2" t="inlineStr">
        <is>
          <t>+91 95153 11755</t>
        </is>
      </c>
      <c r="G42" s="2" t="inlineStr">
        <is>
          <t>ritikjain23112@gmail.com</t>
        </is>
      </c>
      <c r="H42" s="2" t="inlineStr">
        <is>
          <t>Commercials</t>
        </is>
      </c>
      <c r="I42" s="2" t="inlineStr"/>
      <c r="J42" s="2" t="inlineStr"/>
      <c r="K42" s="2" t="inlineStr">
        <is>
          <t>CTR on the proposal shared</t>
        </is>
      </c>
    </row>
    <row r="43">
      <c r="A43" s="3" t="inlineStr"/>
      <c r="B43" s="3" t="inlineStr">
        <is>
          <t>Wellness Brand</t>
        </is>
      </c>
      <c r="C43" s="3" t="inlineStr">
        <is>
          <t>Branding</t>
        </is>
      </c>
      <c r="D43" s="3" t="inlineStr">
        <is>
          <t>Ally</t>
        </is>
      </c>
      <c r="E43" s="3" t="inlineStr">
        <is>
          <t>Ruchi</t>
        </is>
      </c>
      <c r="F43" s="3" t="inlineStr">
        <is>
          <t>+91 73508 89295</t>
        </is>
      </c>
      <c r="G43" s="3" t="inlineStr">
        <is>
          <t>ruchi.pandit2008@gmail.com</t>
        </is>
      </c>
      <c r="H43" s="3" t="inlineStr">
        <is>
          <t>Commercials</t>
        </is>
      </c>
      <c r="I43" s="3" t="inlineStr"/>
      <c r="J43" s="3" t="inlineStr"/>
      <c r="K43" s="3" t="inlineStr">
        <is>
          <t>Client will get back with the numbers they want to close on today.</t>
        </is>
      </c>
    </row>
    <row r="44">
      <c r="A44" s="2" t="inlineStr"/>
      <c r="B44" s="2" t="inlineStr">
        <is>
          <t>O Source Global</t>
        </is>
      </c>
      <c r="C44" s="2" t="inlineStr">
        <is>
          <t>Web</t>
        </is>
      </c>
      <c r="D44" s="2" t="inlineStr">
        <is>
          <t>Tan</t>
        </is>
      </c>
      <c r="E44" s="2" t="inlineStr">
        <is>
          <t>Durvanka</t>
        </is>
      </c>
      <c r="F44" s="2" t="inlineStr">
        <is>
          <t>+91 96194 33680</t>
        </is>
      </c>
      <c r="G44" s="2" t="inlineStr">
        <is>
          <t>durvanka.murkute@osourceglobal.com</t>
        </is>
      </c>
      <c r="H44" s="2" t="inlineStr">
        <is>
          <t>Commercials</t>
        </is>
      </c>
      <c r="I44" s="2" t="inlineStr"/>
      <c r="J44" s="2" t="inlineStr"/>
      <c r="K44" s="2" t="inlineStr">
        <is>
          <t>Commercials didn't work</t>
        </is>
      </c>
    </row>
    <row r="45">
      <c r="A45" s="3" t="inlineStr"/>
      <c r="B45" s="3" t="inlineStr">
        <is>
          <t>EuroKids</t>
        </is>
      </c>
      <c r="C45" s="3" t="inlineStr">
        <is>
          <t>Web</t>
        </is>
      </c>
      <c r="D45" s="3" t="inlineStr">
        <is>
          <t>Tan</t>
        </is>
      </c>
      <c r="E45" s="3" t="inlineStr">
        <is>
          <t>Rakesh</t>
        </is>
      </c>
      <c r="F45" s="3" t="inlineStr">
        <is>
          <t>+91 97737 73230</t>
        </is>
      </c>
      <c r="G45" s="3" t="inlineStr">
        <is>
          <t>rakesh.baikar@lighthouse-learning.com</t>
        </is>
      </c>
      <c r="H45" s="3" t="inlineStr">
        <is>
          <t>Commercials</t>
        </is>
      </c>
      <c r="I45" s="3" t="inlineStr"/>
      <c r="J45" s="3" t="inlineStr"/>
      <c r="K45" s="3" t="inlineStr">
        <is>
          <t>Ghosted us</t>
        </is>
      </c>
    </row>
    <row r="46">
      <c r="A46" s="2" t="inlineStr"/>
      <c r="B46" s="2" t="inlineStr">
        <is>
          <t>Sanjeev (Healthy Snacks)</t>
        </is>
      </c>
      <c r="C46" s="2" t="inlineStr">
        <is>
          <t>Branding</t>
        </is>
      </c>
      <c r="D46" s="2" t="inlineStr">
        <is>
          <t>Ally</t>
        </is>
      </c>
      <c r="E46" s="2" t="inlineStr">
        <is>
          <t>Sanjeev</t>
        </is>
      </c>
      <c r="F46" s="2" t="inlineStr">
        <is>
          <t>+91 98153 38888</t>
        </is>
      </c>
      <c r="G46" s="2" t="inlineStr">
        <is>
          <t>sb@sbhind.com</t>
        </is>
      </c>
      <c r="H46" s="2" t="inlineStr">
        <is>
          <t>First Call</t>
        </is>
      </c>
      <c r="I46" s="2" t="inlineStr"/>
      <c r="J46" s="2" t="inlineStr"/>
      <c r="K46" s="2" t="inlineStr">
        <is>
          <t>Proposal under review.</t>
        </is>
      </c>
    </row>
    <row r="47">
      <c r="A47" s="3" t="inlineStr"/>
      <c r="B47" s="3" t="inlineStr">
        <is>
          <t>Worthvial</t>
        </is>
      </c>
      <c r="C47" s="3" t="inlineStr">
        <is>
          <t>Branding</t>
        </is>
      </c>
      <c r="D47" s="3" t="inlineStr">
        <is>
          <t>Ally</t>
        </is>
      </c>
      <c r="E47" s="3" t="inlineStr">
        <is>
          <t>Rohit</t>
        </is>
      </c>
      <c r="F47" s="3" t="inlineStr">
        <is>
          <t>+91 90132 32346</t>
        </is>
      </c>
      <c r="G47" s="3" t="inlineStr">
        <is>
          <t>rohit@worthvial.com</t>
        </is>
      </c>
      <c r="H47" s="3" t="inlineStr">
        <is>
          <t>Commercials</t>
        </is>
      </c>
      <c r="I47" s="3" t="inlineStr"/>
      <c r="J47" s="3" t="inlineStr"/>
      <c r="K47" s="3" t="inlineStr">
        <is>
          <t>Client will get back with the numbers they want to close on today.</t>
        </is>
      </c>
    </row>
    <row r="48">
      <c r="A48" s="2" t="inlineStr"/>
      <c r="B48" s="2" t="inlineStr">
        <is>
          <t>Bellagio</t>
        </is>
      </c>
      <c r="C48" s="2" t="inlineStr">
        <is>
          <t>Branding</t>
        </is>
      </c>
      <c r="D48" s="2" t="inlineStr">
        <is>
          <t>Ally</t>
        </is>
      </c>
      <c r="E48" s="2" t="inlineStr">
        <is>
          <t>Arya</t>
        </is>
      </c>
      <c r="F48" s="2" t="inlineStr">
        <is>
          <t>+91 90132 32346</t>
        </is>
      </c>
      <c r="G48" s="2" t="inlineStr">
        <is>
          <t>aryaadak2000@gmail.com</t>
        </is>
      </c>
      <c r="H48" s="2" t="inlineStr">
        <is>
          <t>Commercials</t>
        </is>
      </c>
      <c r="I48" s="2" t="inlineStr"/>
      <c r="J48" s="2" t="inlineStr"/>
      <c r="K48" s="2" t="inlineStr">
        <is>
          <t>Client meeting on the 12th Jan, 2026</t>
        </is>
      </c>
    </row>
    <row r="49">
      <c r="A49" s="3" t="inlineStr"/>
      <c r="B49" s="3" t="inlineStr">
        <is>
          <t>Granotone</t>
        </is>
      </c>
      <c r="C49" s="3" t="inlineStr">
        <is>
          <t>Branding</t>
        </is>
      </c>
      <c r="D49" s="3" t="inlineStr">
        <is>
          <t>Tan</t>
        </is>
      </c>
      <c r="E49" s="3" t="inlineStr">
        <is>
          <t>Sarthak</t>
        </is>
      </c>
      <c r="F49" s="3" t="inlineStr">
        <is>
          <t>+91 97600 32125</t>
        </is>
      </c>
      <c r="G49" s="3" t="inlineStr">
        <is>
          <t>sarthak@granotone.com</t>
        </is>
      </c>
      <c r="H49" s="3" t="inlineStr">
        <is>
          <t>Commercials</t>
        </is>
      </c>
      <c r="I49" s="3" t="inlineStr"/>
      <c r="J49" s="3" t="inlineStr"/>
      <c r="K49" s="3" t="inlineStr">
        <is>
          <t>Ghosted us.</t>
        </is>
      </c>
    </row>
    <row r="50">
      <c r="A50" s="2" t="inlineStr"/>
      <c r="B50" s="2" t="inlineStr">
        <is>
          <t>Nuvoco</t>
        </is>
      </c>
      <c r="C50" s="2" t="inlineStr">
        <is>
          <t>Branding</t>
        </is>
      </c>
      <c r="D50" s="2" t="inlineStr">
        <is>
          <t>Ally</t>
        </is>
      </c>
      <c r="E50" s="2" t="inlineStr">
        <is>
          <t>Nikhil</t>
        </is>
      </c>
      <c r="F50" s="2" t="inlineStr">
        <is>
          <t>+91 97020 36462</t>
        </is>
      </c>
      <c r="G50" s="2" t="inlineStr">
        <is>
          <t>Nikhil.Sukthankar@nuvoco.com</t>
        </is>
      </c>
      <c r="H50" s="2" t="inlineStr">
        <is>
          <t>Pitch</t>
        </is>
      </c>
      <c r="I50" s="2" t="inlineStr"/>
      <c r="J50" s="2" t="inlineStr"/>
      <c r="K50" s="2" t="inlineStr">
        <is>
          <t>Pitch done. RFQ will be shared with us this week.</t>
        </is>
      </c>
    </row>
    <row r="51">
      <c r="A51" s="3" t="inlineStr"/>
      <c r="B51" s="3" t="inlineStr">
        <is>
          <t>Kids Infotainment</t>
        </is>
      </c>
      <c r="C51" s="3" t="inlineStr">
        <is>
          <t>Branding</t>
        </is>
      </c>
      <c r="D51" s="3" t="inlineStr">
        <is>
          <t>Tan</t>
        </is>
      </c>
      <c r="E51" s="3" t="inlineStr">
        <is>
          <t>Mazahir</t>
        </is>
      </c>
      <c r="F51" s="3" t="inlineStr">
        <is>
          <t>+91 90221 22928</t>
        </is>
      </c>
      <c r="G51" s="3" t="inlineStr"/>
      <c r="H51" s="3" t="inlineStr">
        <is>
          <t>First Call</t>
        </is>
      </c>
      <c r="I51" s="3" t="inlineStr"/>
      <c r="J51" s="3" t="inlineStr"/>
      <c r="K51" s="3" t="inlineStr">
        <is>
          <t>He ghosted us</t>
        </is>
      </c>
    </row>
    <row r="52">
      <c r="A52" s="2" t="inlineStr"/>
      <c r="B52" s="2" t="inlineStr">
        <is>
          <t>Cello</t>
        </is>
      </c>
      <c r="C52" s="2" t="inlineStr">
        <is>
          <t>Branding</t>
        </is>
      </c>
      <c r="D52" s="2" t="inlineStr">
        <is>
          <t>Ally</t>
        </is>
      </c>
      <c r="E52" s="2" t="inlineStr">
        <is>
          <t>Suresh</t>
        </is>
      </c>
      <c r="F52" s="2" t="inlineStr"/>
      <c r="G52" s="2" t="inlineStr">
        <is>
          <t>suresh.amarnani@celloworld.com</t>
        </is>
      </c>
      <c r="H52" s="2" t="inlineStr">
        <is>
          <t>Commercials</t>
        </is>
      </c>
      <c r="I52" s="2" t="inlineStr"/>
      <c r="J52" s="2" t="inlineStr"/>
      <c r="K52" s="2" t="inlineStr">
        <is>
          <t>Proposal has been shared. No response.</t>
        </is>
      </c>
    </row>
    <row r="53">
      <c r="A53" s="3" t="inlineStr">
        <is>
          <t>14th Jan</t>
        </is>
      </c>
      <c r="B53" s="3" t="inlineStr">
        <is>
          <t>HueTag</t>
        </is>
      </c>
      <c r="C53" s="3" t="inlineStr">
        <is>
          <t>Branding</t>
        </is>
      </c>
      <c r="D53" s="3" t="inlineStr">
        <is>
          <t>Tan</t>
        </is>
      </c>
      <c r="E53" s="3" t="inlineStr">
        <is>
          <t>Yash</t>
        </is>
      </c>
      <c r="F53" s="3" t="inlineStr">
        <is>
          <t>+91 96436 34608</t>
        </is>
      </c>
      <c r="G53" s="3" t="inlineStr">
        <is>
          <t>Yash.lakhmani0580@gmail.com</t>
        </is>
      </c>
      <c r="H53" s="3" t="inlineStr">
        <is>
          <t>First Call</t>
        </is>
      </c>
      <c r="I53" s="3" t="inlineStr"/>
      <c r="J53" s="3" t="inlineStr"/>
      <c r="K53" s="3" t="inlineStr">
        <is>
          <t>commercials didn't work</t>
        </is>
      </c>
    </row>
    <row r="54">
      <c r="A54" s="2" t="inlineStr"/>
      <c r="B54" s="2" t="inlineStr">
        <is>
          <t>Forge Tech</t>
        </is>
      </c>
      <c r="C54" s="2" t="inlineStr">
        <is>
          <t>Branding</t>
        </is>
      </c>
      <c r="D54" s="2" t="inlineStr">
        <is>
          <t>Ally</t>
        </is>
      </c>
      <c r="E54" s="2" t="inlineStr">
        <is>
          <t>Prasad</t>
        </is>
      </c>
      <c r="F54" s="2" t="inlineStr">
        <is>
          <t>+91 72084 82730</t>
        </is>
      </c>
      <c r="G54" s="2" t="inlineStr">
        <is>
          <t>prasad.kabadi@ideaforgetech.com</t>
        </is>
      </c>
      <c r="H54" s="2" t="inlineStr">
        <is>
          <t>First Call</t>
        </is>
      </c>
      <c r="I54" s="2" t="inlineStr">
        <is>
          <t>TBD</t>
        </is>
      </c>
      <c r="J54" s="2" t="inlineStr"/>
      <c r="K54" s="2" t="inlineStr">
        <is>
          <t>Tried connecting with the client but was not able to get through.</t>
        </is>
      </c>
    </row>
    <row r="55">
      <c r="A55" s="3" t="inlineStr"/>
      <c r="B55" s="3" t="inlineStr">
        <is>
          <t>Punjas</t>
        </is>
      </c>
      <c r="C55" s="3" t="inlineStr">
        <is>
          <t>Branding</t>
        </is>
      </c>
      <c r="D55" s="3" t="inlineStr">
        <is>
          <t>Ally</t>
        </is>
      </c>
      <c r="E55" s="3" t="inlineStr">
        <is>
          <t>Gopal</t>
        </is>
      </c>
      <c r="F55" s="3" t="inlineStr">
        <is>
          <t>+91 67970 08805</t>
        </is>
      </c>
      <c r="G55" s="3" t="inlineStr">
        <is>
          <t>gopal@punjas.com</t>
        </is>
      </c>
      <c r="H55" s="3" t="inlineStr">
        <is>
          <t>Commercials</t>
        </is>
      </c>
      <c r="I55" s="3" t="inlineStr"/>
      <c r="J55" s="3" t="inlineStr"/>
      <c r="K55" s="3" t="inlineStr">
        <is>
          <t>Rate card shared with the client.</t>
        </is>
      </c>
    </row>
    <row r="56">
      <c r="A56" s="2" t="inlineStr"/>
      <c r="B56" s="2" t="inlineStr">
        <is>
          <t>NA</t>
        </is>
      </c>
      <c r="C56" s="2" t="inlineStr">
        <is>
          <t>Branding</t>
        </is>
      </c>
      <c r="D56" s="2" t="inlineStr">
        <is>
          <t>Tan</t>
        </is>
      </c>
      <c r="E56" s="2" t="inlineStr">
        <is>
          <t>Falguni</t>
        </is>
      </c>
      <c r="F56" s="2" t="inlineStr">
        <is>
          <t>+91 88799 27537</t>
        </is>
      </c>
      <c r="G56" s="2" t="inlineStr">
        <is>
          <t>falguni240396@gmail.com</t>
        </is>
      </c>
      <c r="H56" s="2" t="inlineStr">
        <is>
          <t>Commercials</t>
        </is>
      </c>
      <c r="I56" s="2" t="inlineStr"/>
      <c r="J56" s="2" t="inlineStr"/>
      <c r="K56" s="2" t="inlineStr">
        <is>
          <t>commercials didn't work</t>
        </is>
      </c>
    </row>
    <row r="57">
      <c r="A57" s="3" t="inlineStr"/>
      <c r="B57" s="3" t="inlineStr">
        <is>
          <t>Biorad</t>
        </is>
      </c>
      <c r="C57" s="3" t="inlineStr">
        <is>
          <t>Branding</t>
        </is>
      </c>
      <c r="D57" s="3" t="inlineStr">
        <is>
          <t>Ally</t>
        </is>
      </c>
      <c r="E57" s="3" t="inlineStr">
        <is>
          <t>Tanishq</t>
        </is>
      </c>
      <c r="F57" s="3" t="inlineStr">
        <is>
          <t>+610451991409</t>
        </is>
      </c>
      <c r="G57" s="3" t="inlineStr">
        <is>
          <t>tanishq.hegde@bioradmedisys.com</t>
        </is>
      </c>
      <c r="H57" s="3" t="inlineStr">
        <is>
          <t>First Call</t>
        </is>
      </c>
      <c r="I57" s="3" t="inlineStr"/>
      <c r="J57" s="3" t="inlineStr"/>
      <c r="K57" s="3" t="inlineStr">
        <is>
          <t>Proposal commercials closure call at 1 pm.</t>
        </is>
      </c>
    </row>
    <row r="58">
      <c r="A58" s="2" t="inlineStr">
        <is>
          <t>29th Jan</t>
        </is>
      </c>
      <c r="B58" s="2" t="inlineStr">
        <is>
          <t>Pureforma</t>
        </is>
      </c>
      <c r="C58" s="2" t="inlineStr">
        <is>
          <t>Branding</t>
        </is>
      </c>
      <c r="D58" s="2" t="inlineStr">
        <is>
          <t>Ally</t>
        </is>
      </c>
      <c r="E58" s="2" t="inlineStr">
        <is>
          <t>Pratima</t>
        </is>
      </c>
      <c r="F58" s="2" t="inlineStr">
        <is>
          <t>+91 98929 02338</t>
        </is>
      </c>
      <c r="G58" s="2" t="inlineStr">
        <is>
          <t>pratima.kamat@pureforma.in</t>
        </is>
      </c>
      <c r="H58" s="2" t="inlineStr">
        <is>
          <t>First Call</t>
        </is>
      </c>
      <c r="I58" s="2" t="inlineStr"/>
      <c r="J58" s="2" t="inlineStr"/>
      <c r="K58" s="2" t="inlineStr">
        <is>
          <t>First call done with the client.</t>
        </is>
      </c>
    </row>
    <row r="59">
      <c r="A59" s="3" t="inlineStr"/>
      <c r="B59" s="3" t="inlineStr">
        <is>
          <t>Oilmax</t>
        </is>
      </c>
      <c r="C59" s="3" t="inlineStr">
        <is>
          <t>Branding</t>
        </is>
      </c>
      <c r="D59" s="3" t="inlineStr">
        <is>
          <t>Ally</t>
        </is>
      </c>
      <c r="E59" s="3" t="inlineStr">
        <is>
          <t>Rostan</t>
        </is>
      </c>
      <c r="F59" s="3" t="inlineStr">
        <is>
          <t>+91 99602 87807</t>
        </is>
      </c>
      <c r="G59" s="3" t="inlineStr">
        <is>
          <t>rostan.miranda@aniritventures.com</t>
        </is>
      </c>
      <c r="H59" s="3" t="inlineStr">
        <is>
          <t>Commercials</t>
        </is>
      </c>
      <c r="I59" s="3" t="inlineStr"/>
      <c r="J59" s="3" t="inlineStr"/>
      <c r="K59" s="3" t="inlineStr">
        <is>
          <t>Proposal has been shared with the client. Awaiting response on the same.</t>
        </is>
      </c>
    </row>
    <row r="60">
      <c r="A60" s="2" t="inlineStr"/>
      <c r="B60" s="2" t="inlineStr">
        <is>
          <t>Kimora</t>
        </is>
      </c>
      <c r="C60" s="2" t="inlineStr">
        <is>
          <t>Branding</t>
        </is>
      </c>
      <c r="D60" s="2" t="inlineStr">
        <is>
          <t>Ally</t>
        </is>
      </c>
      <c r="E60" s="2" t="inlineStr">
        <is>
          <t>Bhumi</t>
        </is>
      </c>
      <c r="F60" s="2" t="inlineStr">
        <is>
          <t>+91 95100 70153</t>
        </is>
      </c>
      <c r="G60" s="2" t="inlineStr">
        <is>
          <t>business@kimora.in</t>
        </is>
      </c>
      <c r="H60" s="2" t="inlineStr">
        <is>
          <t>Commercials</t>
        </is>
      </c>
      <c r="I60" s="2" t="inlineStr"/>
      <c r="J60" s="2" t="inlineStr"/>
      <c r="K60" s="2" t="inlineStr">
        <is>
          <t>Internal review of budgets ongoing.</t>
        </is>
      </c>
    </row>
    <row r="61">
      <c r="A61" s="3" t="inlineStr">
        <is>
          <t>12th Feb</t>
        </is>
      </c>
      <c r="B61" s="3" t="inlineStr">
        <is>
          <t>Coffee Branding</t>
        </is>
      </c>
      <c r="C61" s="3" t="inlineStr">
        <is>
          <t>Branding</t>
        </is>
      </c>
      <c r="D61" s="3" t="inlineStr">
        <is>
          <t>Tan</t>
        </is>
      </c>
      <c r="E61" s="3" t="inlineStr">
        <is>
          <t>Shreyansh</t>
        </is>
      </c>
      <c r="F61" s="3" t="inlineStr">
        <is>
          <t>+91 99872 48272</t>
        </is>
      </c>
      <c r="G61" s="3" t="inlineStr">
        <is>
          <t>doshi.shreyansh@gmail.com</t>
        </is>
      </c>
      <c r="H61" s="3" t="inlineStr">
        <is>
          <t>Commercials</t>
        </is>
      </c>
      <c r="I61" s="3" t="inlineStr"/>
      <c r="J61" s="3" t="inlineStr"/>
      <c r="K61" s="3" t="inlineStr">
        <is>
          <t>Sent him a proposal for 22L, awaiting to hear back</t>
        </is>
      </c>
    </row>
    <row r="62">
      <c r="A62" s="2" t="inlineStr">
        <is>
          <t>16th Feb</t>
        </is>
      </c>
      <c r="B62" s="2" t="inlineStr">
        <is>
          <t>Automobile brand</t>
        </is>
      </c>
      <c r="C62" s="2" t="inlineStr">
        <is>
          <t>Branding</t>
        </is>
      </c>
      <c r="D62" s="2" t="inlineStr">
        <is>
          <t>Tan</t>
        </is>
      </c>
      <c r="E62" s="2" t="inlineStr">
        <is>
          <t>Dhrumil</t>
        </is>
      </c>
      <c r="F62" s="2" t="inlineStr">
        <is>
          <t>+91 91670 76010</t>
        </is>
      </c>
      <c r="G62" s="2" t="inlineStr">
        <is>
          <t>dhrumil@dhcindia.com</t>
        </is>
      </c>
      <c r="H62" s="2" t="inlineStr">
        <is>
          <t>Commercials</t>
        </is>
      </c>
      <c r="I62" s="2" t="inlineStr"/>
      <c r="J62" s="2" t="inlineStr"/>
      <c r="K62" s="2" t="inlineStr">
        <is>
          <t>Have sent him our commercials</t>
        </is>
      </c>
    </row>
    <row r="63">
      <c r="A63" s="3" t="inlineStr">
        <is>
          <t>17th Feb</t>
        </is>
      </c>
      <c r="B63" s="3" t="inlineStr">
        <is>
          <t>SBI MF</t>
        </is>
      </c>
      <c r="C63" s="3" t="inlineStr">
        <is>
          <t>Creatives</t>
        </is>
      </c>
      <c r="D63" s="3" t="inlineStr">
        <is>
          <t>Tan</t>
        </is>
      </c>
      <c r="E63" s="3" t="inlineStr">
        <is>
          <t>Prachi</t>
        </is>
      </c>
      <c r="F63" s="3" t="inlineStr">
        <is>
          <t>+91 95994 07143</t>
        </is>
      </c>
      <c r="G63" s="3" t="inlineStr">
        <is>
          <t>prachi.shinde@sbimf.com</t>
        </is>
      </c>
      <c r="H63" s="3" t="inlineStr">
        <is>
          <t>First Call</t>
        </is>
      </c>
      <c r="I63" s="3" t="inlineStr"/>
      <c r="J63" s="3" t="inlineStr"/>
      <c r="K63" s="3" t="inlineStr"/>
    </row>
    <row r="64">
      <c r="A64" s="2" t="inlineStr">
        <is>
          <t>17th Feb</t>
        </is>
      </c>
      <c r="B64" s="2" t="inlineStr">
        <is>
          <t>Powerbuild Batteries</t>
        </is>
      </c>
      <c r="C64" s="2" t="inlineStr">
        <is>
          <t>Branding</t>
        </is>
      </c>
      <c r="D64" s="2" t="inlineStr">
        <is>
          <t>Ally</t>
        </is>
      </c>
      <c r="E64" s="2" t="inlineStr">
        <is>
          <t>Pawan</t>
        </is>
      </c>
      <c r="F64" s="2" t="inlineStr">
        <is>
          <t>+91 89833 50003</t>
        </is>
      </c>
      <c r="G64" s="2" t="inlineStr">
        <is>
          <t>pawan.lahane@timetechnoplast.com</t>
        </is>
      </c>
      <c r="H64" s="2" t="inlineStr">
        <is>
          <t>Commercials</t>
        </is>
      </c>
      <c r="I64" s="2" t="inlineStr"/>
      <c r="J64" s="2" t="inlineStr"/>
      <c r="K64" s="2" t="inlineStr">
        <is>
          <t>Proposal shared for review. Awaiting response on the same.</t>
        </is>
      </c>
    </row>
    <row r="65">
      <c r="A65" s="3" t="inlineStr">
        <is>
          <t>18th Feb</t>
        </is>
      </c>
      <c r="B65" s="3" t="inlineStr">
        <is>
          <t>Kimirica</t>
        </is>
      </c>
      <c r="C65" s="3" t="inlineStr">
        <is>
          <t>Branding</t>
        </is>
      </c>
      <c r="D65" s="3" t="inlineStr">
        <is>
          <t>Ally</t>
        </is>
      </c>
      <c r="E65" s="3" t="inlineStr">
        <is>
          <t>Pooja</t>
        </is>
      </c>
      <c r="F65" s="3" t="inlineStr">
        <is>
          <t>+91 95840 00357</t>
        </is>
      </c>
      <c r="G65" s="3" t="inlineStr">
        <is>
          <t>pooja.bhagat@kimirica.shop</t>
        </is>
      </c>
      <c r="H65" s="3" t="inlineStr">
        <is>
          <t>Commercials</t>
        </is>
      </c>
      <c r="I65" s="3" t="inlineStr"/>
      <c r="J65" s="3" t="inlineStr"/>
      <c r="K65" s="3" t="inlineStr">
        <is>
          <t>Mall Pop Up Moodboard commercials shared with the client. No response.</t>
        </is>
      </c>
    </row>
    <row r="66">
      <c r="A66" s="2" t="inlineStr">
        <is>
          <t>2nd March</t>
        </is>
      </c>
      <c r="B66" s="2" t="inlineStr">
        <is>
          <t>Ayvens India</t>
        </is>
      </c>
      <c r="C66" s="2" t="inlineStr">
        <is>
          <t>Branding</t>
        </is>
      </c>
      <c r="D66" s="2" t="inlineStr">
        <is>
          <t>Ally</t>
        </is>
      </c>
      <c r="E66" s="2" t="inlineStr">
        <is>
          <t>Shalini</t>
        </is>
      </c>
      <c r="F66" s="2" t="inlineStr">
        <is>
          <t>+91 95822 14969</t>
        </is>
      </c>
      <c r="G66" s="2" t="inlineStr">
        <is>
          <t>shalini.baveja@ayvens.com</t>
        </is>
      </c>
      <c r="H66" s="2" t="inlineStr">
        <is>
          <t>Pitch</t>
        </is>
      </c>
      <c r="I66" s="2" t="inlineStr"/>
      <c r="J66" s="2" t="inlineStr"/>
      <c r="K66" s="2" t="inlineStr">
        <is>
          <t>Pitch date to be finalised basis the call.</t>
        </is>
      </c>
    </row>
    <row r="67">
      <c r="A67" s="3" t="inlineStr">
        <is>
          <t>2nd March</t>
        </is>
      </c>
      <c r="B67" s="3" t="inlineStr">
        <is>
          <t>Kimirica</t>
        </is>
      </c>
      <c r="C67" s="3" t="inlineStr">
        <is>
          <t>Web</t>
        </is>
      </c>
      <c r="D67" s="3" t="inlineStr">
        <is>
          <t>Ally</t>
        </is>
      </c>
      <c r="E67" s="3" t="inlineStr">
        <is>
          <t>Saloni</t>
        </is>
      </c>
      <c r="F67" s="3" t="inlineStr">
        <is>
          <t>+91 91117 44744</t>
        </is>
      </c>
      <c r="G67" s="3" t="inlineStr">
        <is>
          <t>saloni.saraf@kimirica.shop</t>
        </is>
      </c>
      <c r="H67" s="3" t="inlineStr">
        <is>
          <t>Commercials</t>
        </is>
      </c>
      <c r="I67" s="3" t="inlineStr"/>
      <c r="J67" s="3" t="inlineStr"/>
      <c r="K67" s="3" t="inlineStr">
        <is>
          <t>Proposal shared with the client.</t>
        </is>
      </c>
    </row>
    <row r="68">
      <c r="A68" s="2" t="inlineStr">
        <is>
          <t>9th March</t>
        </is>
      </c>
      <c r="B68" s="2" t="inlineStr">
        <is>
          <t>Kalatita + NGO</t>
        </is>
      </c>
      <c r="C68" s="2" t="inlineStr">
        <is>
          <t>Branding</t>
        </is>
      </c>
      <c r="D68" s="2" t="inlineStr">
        <is>
          <t>Ally</t>
        </is>
      </c>
      <c r="E68" s="2" t="inlineStr">
        <is>
          <t>Darayash</t>
        </is>
      </c>
      <c r="F68" s="2" t="inlineStr">
        <is>
          <t>+91 98200 60818</t>
        </is>
      </c>
      <c r="G68" s="2" t="inlineStr">
        <is>
          <t>darayash.gocal@gmail.com</t>
        </is>
      </c>
      <c r="H68" s="2" t="inlineStr">
        <is>
          <t>First Call</t>
        </is>
      </c>
      <c r="I68" s="2" t="inlineStr"/>
      <c r="J68" s="2" t="inlineStr"/>
      <c r="K68" s="2" t="inlineStr">
        <is>
          <t>Client is yet to confirm on the meeting in-office.</t>
        </is>
      </c>
    </row>
  </sheetData>
  <autoFilter ref="A1:K6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44336"/>
    <outlinePr summaryBelow="1" summaryRight="1"/>
    <pageSetUpPr/>
  </sheetPr>
  <dimension ref="A1:K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5" customWidth="1" min="2" max="2"/>
    <col width="15" customWidth="1" min="3" max="3"/>
    <col width="12" customWidth="1" min="4" max="4"/>
    <col width="17" customWidth="1" min="5" max="5"/>
    <col width="17" customWidth="1" min="6" max="6"/>
    <col width="36" customWidth="1" min="7" max="7"/>
    <col width="16" customWidth="1" min="8" max="8"/>
    <col width="13" customWidth="1" min="9" max="9"/>
    <col width="25" customWidth="1" min="10" max="10"/>
    <col width="40" customWidth="1" min="11" max="11"/>
  </cols>
  <sheetData>
    <row r="1">
      <c r="A1" s="1" t="inlineStr">
        <is>
          <t>Date</t>
        </is>
      </c>
      <c r="B1" s="1" t="inlineStr">
        <is>
          <t>Brand Name</t>
        </is>
      </c>
      <c r="C1" s="1" t="inlineStr">
        <is>
          <t>Type of Scope</t>
        </is>
      </c>
      <c r="D1" s="1" t="inlineStr">
        <is>
          <t>Handled by</t>
        </is>
      </c>
      <c r="E1" s="1" t="inlineStr">
        <is>
          <t>POC Name</t>
        </is>
      </c>
      <c r="F1" s="1" t="inlineStr">
        <is>
          <t>Phone</t>
        </is>
      </c>
      <c r="G1" s="1" t="inlineStr">
        <is>
          <t>Email</t>
        </is>
      </c>
      <c r="H1" s="1" t="inlineStr">
        <is>
          <t>Stage</t>
        </is>
      </c>
      <c r="I1" s="1" t="inlineStr">
        <is>
          <t>Costs</t>
        </is>
      </c>
      <c r="J1" s="1" t="inlineStr">
        <is>
          <t>Proposal Date/Follow up</t>
        </is>
      </c>
      <c r="K1" s="1" t="inlineStr">
        <is>
          <t>Status</t>
        </is>
      </c>
    </row>
    <row r="2">
      <c r="A2" s="2" t="inlineStr"/>
      <c r="B2" s="2" t="inlineStr">
        <is>
          <t>Messe Muenchen</t>
        </is>
      </c>
      <c r="C2" s="2" t="inlineStr">
        <is>
          <t>Branding</t>
        </is>
      </c>
      <c r="D2" s="2" t="inlineStr">
        <is>
          <t>Ally</t>
        </is>
      </c>
      <c r="E2" s="2" t="inlineStr">
        <is>
          <t>Riddhi</t>
        </is>
      </c>
      <c r="F2" s="2" t="inlineStr">
        <is>
          <t>+91 75179 98999</t>
        </is>
      </c>
      <c r="G2" s="2" t="inlineStr">
        <is>
          <t>support.marcom@mm-india.in</t>
        </is>
      </c>
      <c r="H2" s="2" t="inlineStr">
        <is>
          <t>Didnt work out</t>
        </is>
      </c>
      <c r="I2" s="5" t="n">
        <v>180000000</v>
      </c>
      <c r="J2" s="2" t="inlineStr"/>
      <c r="K2" s="2" t="inlineStr">
        <is>
          <t>Client is not responding</t>
        </is>
      </c>
    </row>
    <row r="3">
      <c r="A3" s="3" t="inlineStr"/>
      <c r="B3" s="3" t="inlineStr">
        <is>
          <t>The Premium Basket</t>
        </is>
      </c>
      <c r="C3" s="3" t="inlineStr">
        <is>
          <t>Branding</t>
        </is>
      </c>
      <c r="D3" s="3" t="inlineStr">
        <is>
          <t>Ally</t>
        </is>
      </c>
      <c r="E3" s="3" t="inlineStr">
        <is>
          <t>Ebrahim Kothari</t>
        </is>
      </c>
      <c r="F3" s="3" t="inlineStr">
        <is>
          <t>+91 88281 92685</t>
        </is>
      </c>
      <c r="G3" s="3" t="inlineStr">
        <is>
          <t>ebrahim@thepremiumbasket.com</t>
        </is>
      </c>
      <c r="H3" s="3" t="inlineStr">
        <is>
          <t>Didnt work out</t>
        </is>
      </c>
      <c r="I3" s="4" t="n">
        <v>167500000</v>
      </c>
      <c r="J3" s="3" t="inlineStr"/>
      <c r="K3" s="3" t="inlineStr">
        <is>
          <t>We've shared the signed NDA with the client</t>
        </is>
      </c>
    </row>
    <row r="4">
      <c r="A4" s="2" t="inlineStr"/>
      <c r="B4" s="2" t="inlineStr">
        <is>
          <t>Bongchie</t>
        </is>
      </c>
      <c r="C4" s="2" t="inlineStr">
        <is>
          <t>Branding</t>
        </is>
      </c>
      <c r="D4" s="2" t="inlineStr">
        <is>
          <t>Ally</t>
        </is>
      </c>
      <c r="E4" s="2" t="inlineStr">
        <is>
          <t>Tushar</t>
        </is>
      </c>
      <c r="F4" s="2" t="inlineStr">
        <is>
          <t>+91 94547 48677</t>
        </is>
      </c>
      <c r="G4" s="2" t="inlineStr">
        <is>
          <t>tushar@bongchie.com</t>
        </is>
      </c>
      <c r="H4" s="2" t="inlineStr">
        <is>
          <t>Didnt work out</t>
        </is>
      </c>
      <c r="I4" s="5" t="n">
        <v>140000000</v>
      </c>
      <c r="J4" s="2" t="inlineStr"/>
      <c r="K4" s="2" t="inlineStr">
        <is>
          <t>Follow up done on the 1st July. No response. Awaiting a response.</t>
        </is>
      </c>
    </row>
    <row r="5">
      <c r="A5" s="3" t="inlineStr"/>
      <c r="B5" s="3" t="inlineStr">
        <is>
          <t>Miss Claire</t>
        </is>
      </c>
      <c r="C5" s="3" t="inlineStr">
        <is>
          <t>Branding</t>
        </is>
      </c>
      <c r="D5" s="3" t="inlineStr">
        <is>
          <t>Ally</t>
        </is>
      </c>
      <c r="E5" s="3" t="inlineStr">
        <is>
          <t>Mallika Ahar</t>
        </is>
      </c>
      <c r="F5" s="3" t="inlineStr">
        <is>
          <t>Not available</t>
        </is>
      </c>
      <c r="G5" s="3" t="inlineStr"/>
      <c r="H5" s="3" t="inlineStr">
        <is>
          <t>Didnt work out</t>
        </is>
      </c>
      <c r="I5" s="4" t="n">
        <v>122500000</v>
      </c>
      <c r="J5" s="3" t="inlineStr"/>
      <c r="K5" s="3" t="inlineStr">
        <is>
          <t>SPOC has been unresponsive.</t>
        </is>
      </c>
    </row>
    <row r="6">
      <c r="A6" s="2" t="inlineStr"/>
      <c r="B6" s="2" t="inlineStr">
        <is>
          <t>Raindus Beauty Care</t>
        </is>
      </c>
      <c r="C6" s="2" t="inlineStr">
        <is>
          <t>Branding</t>
        </is>
      </c>
      <c r="D6" s="2" t="inlineStr">
        <is>
          <t>Ally</t>
        </is>
      </c>
      <c r="E6" s="2" t="inlineStr">
        <is>
          <t>Saumya</t>
        </is>
      </c>
      <c r="F6" s="2" t="inlineStr">
        <is>
          <t>+91 78019 04359</t>
        </is>
      </c>
      <c r="G6" s="2" t="inlineStr">
        <is>
          <t>admin@eurekacosmo.com</t>
        </is>
      </c>
      <c r="H6" s="2" t="inlineStr">
        <is>
          <t>Didnt work out</t>
        </is>
      </c>
      <c r="I6" s="5" t="n">
        <v>122500000</v>
      </c>
      <c r="J6" s="2" t="inlineStr"/>
      <c r="K6" s="2" t="inlineStr">
        <is>
          <t>Branding proposal shared.</t>
        </is>
      </c>
    </row>
    <row r="7">
      <c r="A7" s="3" t="inlineStr"/>
      <c r="B7" s="3" t="inlineStr">
        <is>
          <t>Un'layered</t>
        </is>
      </c>
      <c r="C7" s="3" t="inlineStr">
        <is>
          <t>Branding</t>
        </is>
      </c>
      <c r="D7" s="3" t="inlineStr">
        <is>
          <t>Ally</t>
        </is>
      </c>
      <c r="E7" s="3" t="inlineStr">
        <is>
          <t>Bhawna</t>
        </is>
      </c>
      <c r="F7" s="3" t="inlineStr">
        <is>
          <t>+91 95282 55005</t>
        </is>
      </c>
      <c r="G7" s="3" t="inlineStr">
        <is>
          <t>bhawnasharmaofficial@gmail.com</t>
        </is>
      </c>
      <c r="H7" s="3" t="inlineStr">
        <is>
          <t>Didnt work out</t>
        </is>
      </c>
      <c r="I7" s="4" t="n">
        <v>100000000</v>
      </c>
      <c r="J7" s="3" t="inlineStr"/>
      <c r="K7" s="3" t="inlineStr">
        <is>
          <t>Call to be made on 2nd July 2025.</t>
        </is>
      </c>
    </row>
    <row r="8">
      <c r="A8" s="2" t="inlineStr"/>
      <c r="B8" s="2" t="inlineStr">
        <is>
          <t>HOF</t>
        </is>
      </c>
      <c r="C8" s="2" t="inlineStr">
        <is>
          <t>Branding</t>
        </is>
      </c>
      <c r="D8" s="2" t="inlineStr">
        <is>
          <t>Ally</t>
        </is>
      </c>
      <c r="E8" s="2" t="inlineStr">
        <is>
          <t>Somendra</t>
        </is>
      </c>
      <c r="F8" s="2" t="inlineStr">
        <is>
          <t>+91 99043 04513</t>
        </is>
      </c>
      <c r="G8" s="2" t="inlineStr">
        <is>
          <t>somendra@hofindia.com</t>
        </is>
      </c>
      <c r="H8" s="2" t="inlineStr">
        <is>
          <t>Didnt work out</t>
        </is>
      </c>
      <c r="I8" s="5" t="n">
        <v>90000000</v>
      </c>
      <c r="J8" s="2" t="inlineStr"/>
      <c r="K8" s="2" t="inlineStr">
        <is>
          <t>Branding proposal shared. Client is reviewing it at their end</t>
        </is>
      </c>
    </row>
    <row r="9">
      <c r="A9" s="3" t="inlineStr"/>
      <c r="B9" s="3" t="inlineStr">
        <is>
          <t>Vanveda Organics</t>
        </is>
      </c>
      <c r="C9" s="3" t="inlineStr">
        <is>
          <t>Branding</t>
        </is>
      </c>
      <c r="D9" s="3" t="inlineStr">
        <is>
          <t>Ally</t>
        </is>
      </c>
      <c r="E9" s="3" t="inlineStr">
        <is>
          <t>Chandan</t>
        </is>
      </c>
      <c r="F9" s="3" t="inlineStr">
        <is>
          <t>+91 75179 98999</t>
        </is>
      </c>
      <c r="G9" s="3" t="inlineStr">
        <is>
          <t>support.marcom@mm-india.in</t>
        </is>
      </c>
      <c r="H9" s="3" t="inlineStr">
        <is>
          <t>Didnt work out</t>
        </is>
      </c>
      <c r="I9" s="4" t="n">
        <v>85000000</v>
      </c>
      <c r="J9" s="3" t="inlineStr"/>
      <c r="K9" s="3" t="inlineStr">
        <is>
          <t>Update to be received by this weekend. 9-10th August</t>
        </is>
      </c>
    </row>
    <row r="10">
      <c r="A10" s="2" t="inlineStr"/>
      <c r="B10" s="2" t="inlineStr">
        <is>
          <t>Multichem</t>
        </is>
      </c>
      <c r="C10" s="2" t="inlineStr">
        <is>
          <t>Branding</t>
        </is>
      </c>
      <c r="D10" s="2" t="inlineStr">
        <is>
          <t>Ally</t>
        </is>
      </c>
      <c r="E10" s="2" t="inlineStr">
        <is>
          <t>Sejal Jadiyar</t>
        </is>
      </c>
      <c r="F10" s="2" t="inlineStr">
        <is>
          <t>+91 77382 47802</t>
        </is>
      </c>
      <c r="G10" s="2" t="inlineStr">
        <is>
          <t>hello@multichemindia.com</t>
        </is>
      </c>
      <c r="H10" s="2" t="inlineStr">
        <is>
          <t>Didnt work out</t>
        </is>
      </c>
      <c r="I10" s="5" t="n">
        <v>74500000</v>
      </c>
      <c r="J10" s="2" t="inlineStr"/>
      <c r="K10" s="2" t="inlineStr">
        <is>
          <t>Awaiting an update from the founder.</t>
        </is>
      </c>
    </row>
    <row r="11">
      <c r="A11" s="3" t="inlineStr"/>
      <c r="B11" s="3" t="inlineStr">
        <is>
          <t>Zydus Cadila</t>
        </is>
      </c>
      <c r="C11" s="3" t="inlineStr">
        <is>
          <t>Branding</t>
        </is>
      </c>
      <c r="D11" s="3" t="inlineStr">
        <is>
          <t>Tan</t>
        </is>
      </c>
      <c r="E11" s="3" t="inlineStr">
        <is>
          <t>Yash</t>
        </is>
      </c>
      <c r="F11" s="3" t="inlineStr">
        <is>
          <t>+91 98697 31997</t>
        </is>
      </c>
      <c r="G11" s="3" t="inlineStr">
        <is>
          <t>YASHL.GANDHI@zyduslife.com</t>
        </is>
      </c>
      <c r="H11" s="3" t="inlineStr">
        <is>
          <t>Didnt work out</t>
        </is>
      </c>
      <c r="I11" s="4" t="n">
        <v>70000000</v>
      </c>
      <c r="J11" s="3" t="inlineStr"/>
      <c r="K11" s="3" t="inlineStr">
        <is>
          <t>They ghosted us.</t>
        </is>
      </c>
    </row>
    <row r="12">
      <c r="A12" s="2" t="inlineStr"/>
      <c r="B12" s="2" t="inlineStr">
        <is>
          <t>Unomax</t>
        </is>
      </c>
      <c r="C12" s="2" t="inlineStr">
        <is>
          <t>Branding</t>
        </is>
      </c>
      <c r="D12" s="2" t="inlineStr">
        <is>
          <t>Ally</t>
        </is>
      </c>
      <c r="E12" s="2" t="inlineStr">
        <is>
          <t>Sajad</t>
        </is>
      </c>
      <c r="F12" s="2" t="inlineStr"/>
      <c r="G12" s="2" t="inlineStr">
        <is>
          <t>sajjad.godhrawala@unomaxpens.com</t>
        </is>
      </c>
      <c r="H12" s="2" t="inlineStr">
        <is>
          <t>Didnt work out</t>
        </is>
      </c>
      <c r="I12" s="5" t="n">
        <v>50000000</v>
      </c>
      <c r="J12" s="2" t="inlineStr"/>
      <c r="K12" s="2" t="inlineStr">
        <is>
          <t>Closed on an industrial design agency</t>
        </is>
      </c>
    </row>
    <row r="13">
      <c r="A13" s="3" t="inlineStr"/>
      <c r="B13" s="3" t="inlineStr">
        <is>
          <t>Cafe Branding</t>
        </is>
      </c>
      <c r="C13" s="3" t="inlineStr">
        <is>
          <t>Branding</t>
        </is>
      </c>
      <c r="D13" s="3" t="inlineStr">
        <is>
          <t>Ally</t>
        </is>
      </c>
      <c r="E13" s="3" t="inlineStr">
        <is>
          <t>Sharon</t>
        </is>
      </c>
      <c r="F13" s="3" t="inlineStr">
        <is>
          <t>+91 99306 56794</t>
        </is>
      </c>
      <c r="G13" s="3" t="inlineStr">
        <is>
          <t>sharon22193@gmail.com</t>
        </is>
      </c>
      <c r="H13" s="3" t="inlineStr">
        <is>
          <t>Didnt work out</t>
        </is>
      </c>
      <c r="I13" s="4" t="n">
        <v>50000000</v>
      </c>
      <c r="J13" s="3" t="inlineStr"/>
      <c r="K13" s="3" t="inlineStr">
        <is>
          <t>Branding proposal shared. Client is reviewing it at their end</t>
        </is>
      </c>
    </row>
    <row r="14">
      <c r="A14" s="2" t="inlineStr"/>
      <c r="B14" s="2" t="inlineStr">
        <is>
          <t>Food Brand Launch</t>
        </is>
      </c>
      <c r="C14" s="2" t="inlineStr">
        <is>
          <t>Branding</t>
        </is>
      </c>
      <c r="D14" s="2" t="inlineStr">
        <is>
          <t>Tan</t>
        </is>
      </c>
      <c r="E14" s="2" t="inlineStr">
        <is>
          <t>Akshay</t>
        </is>
      </c>
      <c r="F14" s="2" t="inlineStr">
        <is>
          <t>+91 98338 14029</t>
        </is>
      </c>
      <c r="G14" s="2" t="inlineStr"/>
      <c r="H14" s="2" t="inlineStr">
        <is>
          <t>Didnt work out</t>
        </is>
      </c>
      <c r="I14" s="2" t="inlineStr">
        <is>
          <t>-</t>
        </is>
      </c>
      <c r="J14" s="2" t="inlineStr"/>
      <c r="K14" s="2" t="inlineStr">
        <is>
          <t>Didnt work out because of costs.</t>
        </is>
      </c>
    </row>
    <row r="15">
      <c r="A15" s="3" t="inlineStr"/>
      <c r="B15" s="3" t="inlineStr">
        <is>
          <t>Welspun</t>
        </is>
      </c>
      <c r="C15" s="3" t="inlineStr">
        <is>
          <t>Branding</t>
        </is>
      </c>
      <c r="D15" s="3" t="inlineStr">
        <is>
          <t>Ally</t>
        </is>
      </c>
      <c r="E15" s="3" t="inlineStr">
        <is>
          <t>Alok</t>
        </is>
      </c>
      <c r="F15" s="3" t="inlineStr">
        <is>
          <t>+91 99980 03155</t>
        </is>
      </c>
      <c r="G15" s="3" t="inlineStr">
        <is>
          <t>Alok_Bhinde@welspun.com</t>
        </is>
      </c>
      <c r="H15" s="3" t="inlineStr">
        <is>
          <t>Didnt work out</t>
        </is>
      </c>
      <c r="I15" s="3" t="inlineStr"/>
      <c r="J15" s="3" t="inlineStr"/>
      <c r="K15" s="3" t="inlineStr">
        <is>
          <t>Client has said that CMO is travelling and this will take sometime to close on.</t>
        </is>
      </c>
    </row>
    <row r="16">
      <c r="A16" s="2" t="inlineStr"/>
      <c r="B16" s="2" t="inlineStr">
        <is>
          <t>South Indian Restaurant</t>
        </is>
      </c>
      <c r="C16" s="2" t="inlineStr">
        <is>
          <t>Branding</t>
        </is>
      </c>
      <c r="D16" s="2" t="inlineStr">
        <is>
          <t>Ally</t>
        </is>
      </c>
      <c r="E16" s="2" t="inlineStr">
        <is>
          <t>Shashank</t>
        </is>
      </c>
      <c r="F16" s="2" t="inlineStr">
        <is>
          <t>+91 88252 02574</t>
        </is>
      </c>
      <c r="G16" s="2" t="inlineStr">
        <is>
          <t>shashanksauravv@gmail.com</t>
        </is>
      </c>
      <c r="H16" s="2" t="inlineStr">
        <is>
          <t>Didnt work out</t>
        </is>
      </c>
      <c r="I16" s="2" t="inlineStr">
        <is>
          <t>TBD</t>
        </is>
      </c>
      <c r="J16" s="2" t="inlineStr"/>
      <c r="K16" s="2" t="inlineStr">
        <is>
          <t>Client will call back</t>
        </is>
      </c>
    </row>
    <row r="17">
      <c r="A17" s="3" t="inlineStr"/>
      <c r="B17" s="3" t="inlineStr">
        <is>
          <t>Indo Atma</t>
        </is>
      </c>
      <c r="C17" s="3" t="inlineStr">
        <is>
          <t>Branding</t>
        </is>
      </c>
      <c r="D17" s="3" t="inlineStr">
        <is>
          <t>Ally</t>
        </is>
      </c>
      <c r="E17" s="3" t="inlineStr">
        <is>
          <t>Arastu</t>
        </is>
      </c>
      <c r="F17" s="3" t="inlineStr">
        <is>
          <t>+5617597364</t>
        </is>
      </c>
      <c r="G17" s="3" t="inlineStr">
        <is>
          <t>arastu@indoatma.com</t>
        </is>
      </c>
      <c r="H17" s="3" t="inlineStr">
        <is>
          <t>Didnt work out</t>
        </is>
      </c>
      <c r="I17" s="3" t="inlineStr"/>
      <c r="J17" s="3" t="inlineStr"/>
      <c r="K17" s="3" t="inlineStr">
        <is>
          <t>Client has gone silent on the NDA front.</t>
        </is>
      </c>
    </row>
    <row r="18">
      <c r="A18" s="2" t="inlineStr"/>
      <c r="B18" s="2" t="inlineStr">
        <is>
          <t>Dynamic Engineering</t>
        </is>
      </c>
      <c r="C18" s="2" t="inlineStr">
        <is>
          <t>Branding</t>
        </is>
      </c>
      <c r="D18" s="2" t="inlineStr">
        <is>
          <t>Ally</t>
        </is>
      </c>
      <c r="E18" s="2" t="inlineStr">
        <is>
          <t>Sehej</t>
        </is>
      </c>
      <c r="F18" s="2" t="inlineStr">
        <is>
          <t>+91 99305 64146</t>
        </is>
      </c>
      <c r="G18" s="2" t="inlineStr">
        <is>
          <t>info@dynamicengineeringcompany.com</t>
        </is>
      </c>
      <c r="H18" s="2" t="inlineStr">
        <is>
          <t>Didnt work out</t>
        </is>
      </c>
      <c r="I18" s="2" t="inlineStr"/>
      <c r="J18" s="2" t="inlineStr"/>
      <c r="K18" s="2" t="inlineStr">
        <is>
          <t>Cost of 3L</t>
        </is>
      </c>
    </row>
    <row r="19">
      <c r="A19" s="3" t="inlineStr"/>
      <c r="B19" s="3" t="inlineStr">
        <is>
          <t>Ice Cream Brand</t>
        </is>
      </c>
      <c r="C19" s="3" t="inlineStr">
        <is>
          <t>Branding</t>
        </is>
      </c>
      <c r="D19" s="3" t="inlineStr">
        <is>
          <t>Ally</t>
        </is>
      </c>
      <c r="E19" s="3" t="inlineStr">
        <is>
          <t>Dharmesh</t>
        </is>
      </c>
      <c r="F19" s="3" t="inlineStr">
        <is>
          <t>+91 79074 87352</t>
        </is>
      </c>
      <c r="G19" s="3" t="inlineStr">
        <is>
          <t>hnmpltd@outlook.com</t>
        </is>
      </c>
      <c r="H19" s="3" t="inlineStr">
        <is>
          <t>Didnt work out</t>
        </is>
      </c>
      <c r="I19" s="3" t="inlineStr"/>
      <c r="J19" s="3" t="inlineStr"/>
      <c r="K19" s="3" t="inlineStr">
        <is>
          <t>Budget of 2L</t>
        </is>
      </c>
    </row>
    <row r="20">
      <c r="A20" s="2" t="inlineStr"/>
      <c r="B20" s="2" t="inlineStr">
        <is>
          <t>Hindustan Times</t>
        </is>
      </c>
      <c r="C20" s="2" t="inlineStr">
        <is>
          <t>Branding</t>
        </is>
      </c>
      <c r="D20" s="2" t="inlineStr">
        <is>
          <t>Ally</t>
        </is>
      </c>
      <c r="E20" s="2" t="inlineStr">
        <is>
          <t>Srashti</t>
        </is>
      </c>
      <c r="F20" s="2" t="inlineStr">
        <is>
          <t>+91 87178 78891</t>
        </is>
      </c>
      <c r="G20" s="2" t="inlineStr">
        <is>
          <t>srashti.jain@hindustantimes.com</t>
        </is>
      </c>
      <c r="H20" s="2" t="inlineStr">
        <is>
          <t>Didnt work out</t>
        </is>
      </c>
      <c r="I20" s="2" t="inlineStr"/>
      <c r="J20" s="2" t="inlineStr"/>
      <c r="K20" s="2" t="inlineStr">
        <is>
          <t>Badge and Trophy design costing shared with the client.</t>
        </is>
      </c>
    </row>
    <row r="21">
      <c r="A21" s="3" t="inlineStr"/>
      <c r="B21" s="3" t="inlineStr">
        <is>
          <t>Pump Manufacturer</t>
        </is>
      </c>
      <c r="C21" s="3" t="inlineStr">
        <is>
          <t>Branding</t>
        </is>
      </c>
      <c r="D21" s="3" t="inlineStr">
        <is>
          <t>Ally</t>
        </is>
      </c>
      <c r="E21" s="3" t="inlineStr">
        <is>
          <t>Nik</t>
        </is>
      </c>
      <c r="F21" s="3" t="inlineStr">
        <is>
          <t>+3468528114</t>
        </is>
      </c>
      <c r="G21" s="3" t="inlineStr">
        <is>
          <t>nikp09528@gmail.com</t>
        </is>
      </c>
      <c r="H21" s="3" t="inlineStr">
        <is>
          <t>Didnt work out</t>
        </is>
      </c>
      <c r="I21" s="3" t="inlineStr"/>
      <c r="J21" s="3" t="inlineStr"/>
      <c r="K21" s="3" t="inlineStr">
        <is>
          <t>CTR on the proposal shared</t>
        </is>
      </c>
    </row>
    <row r="22">
      <c r="A22" s="2" t="inlineStr"/>
      <c r="B22" s="2" t="inlineStr">
        <is>
          <t>Haldirams</t>
        </is>
      </c>
      <c r="C22" s="2" t="inlineStr">
        <is>
          <t>Branding</t>
        </is>
      </c>
      <c r="D22" s="2" t="inlineStr">
        <is>
          <t>Ally</t>
        </is>
      </c>
      <c r="E22" s="2" t="inlineStr">
        <is>
          <t>Bhagyashree</t>
        </is>
      </c>
      <c r="F22" s="2" t="inlineStr">
        <is>
          <t>+91 96193 42495</t>
        </is>
      </c>
      <c r="G22" s="2" t="inlineStr">
        <is>
          <t>bhagyashree.paralkar@haldirams.com</t>
        </is>
      </c>
      <c r="H22" s="2" t="inlineStr">
        <is>
          <t>Didnt work out</t>
        </is>
      </c>
      <c r="I22" s="2" t="inlineStr"/>
      <c r="J22" s="2" t="inlineStr"/>
      <c r="K22" s="2" t="inlineStr">
        <is>
          <t>Proposal to be shared post closure on social media</t>
        </is>
      </c>
    </row>
    <row r="23">
      <c r="A23" s="3" t="inlineStr"/>
      <c r="B23" s="3" t="inlineStr">
        <is>
          <t>Zune Clothing</t>
        </is>
      </c>
      <c r="C23" s="3" t="inlineStr">
        <is>
          <t>Branding</t>
        </is>
      </c>
      <c r="D23" s="3" t="inlineStr">
        <is>
          <t>Tan</t>
        </is>
      </c>
      <c r="E23" s="3" t="inlineStr">
        <is>
          <t>Shivam</t>
        </is>
      </c>
      <c r="F23" s="3" t="inlineStr">
        <is>
          <t>+91 75056 43933</t>
        </is>
      </c>
      <c r="G23" s="3" t="inlineStr">
        <is>
          <t>shivamyadav9258@gmail.com</t>
        </is>
      </c>
      <c r="H23" s="3" t="inlineStr">
        <is>
          <t>Didnt work out</t>
        </is>
      </c>
      <c r="I23" s="3" t="inlineStr"/>
      <c r="J23" s="3" t="inlineStr"/>
      <c r="K23" s="3" t="inlineStr">
        <is>
          <t>Had very low budgets, 2L for branding.</t>
        </is>
      </c>
    </row>
    <row r="24">
      <c r="A24" s="2" t="inlineStr"/>
      <c r="B24" s="2" t="inlineStr">
        <is>
          <t>Luxury Bags</t>
        </is>
      </c>
      <c r="C24" s="2" t="inlineStr">
        <is>
          <t>Branding</t>
        </is>
      </c>
      <c r="D24" s="2" t="inlineStr">
        <is>
          <t>Ally</t>
        </is>
      </c>
      <c r="E24" s="2" t="inlineStr">
        <is>
          <t>Ayesha</t>
        </is>
      </c>
      <c r="F24" s="2" t="inlineStr">
        <is>
          <t>+91 96190 77701</t>
        </is>
      </c>
      <c r="G24" s="2" t="inlineStr">
        <is>
          <t>NA</t>
        </is>
      </c>
      <c r="H24" s="2" t="inlineStr">
        <is>
          <t>Didnt work out</t>
        </is>
      </c>
      <c r="I24" s="2" t="inlineStr"/>
      <c r="J24" s="2" t="inlineStr"/>
      <c r="K24" s="2" t="inlineStr">
        <is>
          <t>Low budget client.</t>
        </is>
      </c>
    </row>
    <row r="25">
      <c r="A25" s="3" t="inlineStr"/>
      <c r="B25" s="3" t="inlineStr">
        <is>
          <t>HOS Global Foods</t>
        </is>
      </c>
      <c r="C25" s="3" t="inlineStr">
        <is>
          <t>Branding</t>
        </is>
      </c>
      <c r="D25" s="3" t="inlineStr">
        <is>
          <t>Ally</t>
        </is>
      </c>
      <c r="E25" s="3" t="inlineStr">
        <is>
          <t>Shruti</t>
        </is>
      </c>
      <c r="F25" s="3" t="inlineStr">
        <is>
          <t>+91 88794 33104</t>
        </is>
      </c>
      <c r="G25" s="3" t="inlineStr">
        <is>
          <t>skulkarni@houseofspicesindia.com</t>
        </is>
      </c>
      <c r="H25" s="3" t="inlineStr">
        <is>
          <t>Didnt work out</t>
        </is>
      </c>
      <c r="I25" s="3" t="inlineStr"/>
      <c r="J25" s="3" t="inlineStr"/>
      <c r="K25" s="3" t="inlineStr">
        <is>
          <t>Client has mentioned they will work on future projects with us.</t>
        </is>
      </c>
    </row>
    <row r="26">
      <c r="A26" s="2" t="inlineStr"/>
      <c r="B26" s="2" t="inlineStr">
        <is>
          <t>Els Hair</t>
        </is>
      </c>
      <c r="C26" s="2" t="inlineStr">
        <is>
          <t>Web</t>
        </is>
      </c>
      <c r="D26" s="2" t="inlineStr">
        <is>
          <t>Ally</t>
        </is>
      </c>
      <c r="E26" s="2" t="inlineStr">
        <is>
          <t>Simran</t>
        </is>
      </c>
      <c r="F26" s="2" t="inlineStr">
        <is>
          <t>+91 83830 08876</t>
        </is>
      </c>
      <c r="G26" s="2" t="inlineStr">
        <is>
          <t>work.skataria@gmail.com</t>
        </is>
      </c>
      <c r="H26" s="2" t="inlineStr">
        <is>
          <t>Didnt work out</t>
        </is>
      </c>
      <c r="I26" s="2" t="inlineStr"/>
      <c r="J26" s="2" t="inlineStr"/>
      <c r="K26" s="2" t="inlineStr">
        <is>
          <t>No response post proposal for website revamp shared with the client.</t>
        </is>
      </c>
    </row>
    <row r="27">
      <c r="A27" s="3" t="inlineStr"/>
      <c r="B27" s="3" t="inlineStr">
        <is>
          <t>Inorbit</t>
        </is>
      </c>
      <c r="C27" s="3" t="inlineStr">
        <is>
          <t>Branding</t>
        </is>
      </c>
      <c r="D27" s="3" t="inlineStr">
        <is>
          <t>Ally</t>
        </is>
      </c>
      <c r="E27" s="3" t="inlineStr">
        <is>
          <t>Tiyasha</t>
        </is>
      </c>
      <c r="F27" s="3" t="inlineStr">
        <is>
          <t>+91 96741 19228</t>
        </is>
      </c>
      <c r="G27" s="3" t="inlineStr">
        <is>
          <t>tiyasha.mitra@inorbit.in</t>
        </is>
      </c>
      <c r="H27" s="3" t="inlineStr">
        <is>
          <t>Didnt work out</t>
        </is>
      </c>
      <c r="I27" s="3" t="inlineStr"/>
      <c r="J27" s="3" t="inlineStr"/>
      <c r="K27" s="3" t="inlineStr">
        <is>
          <t>Case Studies deck shared with the client.</t>
        </is>
      </c>
    </row>
    <row r="28">
      <c r="A28" s="2" t="inlineStr">
        <is>
          <t>19th Jan</t>
        </is>
      </c>
      <c r="B28" s="2" t="inlineStr">
        <is>
          <t>Oral-care FMCG brand</t>
        </is>
      </c>
      <c r="C28" s="2" t="inlineStr">
        <is>
          <t>Branding</t>
        </is>
      </c>
      <c r="D28" s="2" t="inlineStr">
        <is>
          <t>Ally</t>
        </is>
      </c>
      <c r="E28" s="2" t="inlineStr">
        <is>
          <t>Harshleen</t>
        </is>
      </c>
      <c r="F28" s="2" t="inlineStr">
        <is>
          <t>+91 95751 00999</t>
        </is>
      </c>
      <c r="G28" s="2" t="inlineStr">
        <is>
          <t>bhatiaharshleen11@gmail.com</t>
        </is>
      </c>
      <c r="H28" s="2" t="inlineStr">
        <is>
          <t>Didnt work out</t>
        </is>
      </c>
      <c r="I28" s="2" t="inlineStr">
        <is>
          <t>TBD</t>
        </is>
      </c>
      <c r="J28" s="2" t="inlineStr"/>
      <c r="K28" s="2" t="inlineStr">
        <is>
          <t>Client has not responded to calls and texts.</t>
        </is>
      </c>
    </row>
    <row r="29">
      <c r="A29" s="3" t="inlineStr"/>
      <c r="B29" s="3" t="inlineStr">
        <is>
          <t>Elevator Brand</t>
        </is>
      </c>
      <c r="C29" s="3" t="inlineStr">
        <is>
          <t>Branding</t>
        </is>
      </c>
      <c r="D29" s="3" t="inlineStr">
        <is>
          <t>Ally</t>
        </is>
      </c>
      <c r="E29" s="3" t="inlineStr">
        <is>
          <t>Prachi</t>
        </is>
      </c>
      <c r="F29" s="3" t="inlineStr">
        <is>
          <t>+91 77383 87212</t>
        </is>
      </c>
      <c r="G29" s="3" t="inlineStr">
        <is>
          <t>prachi.jadhav@eroselevators.com</t>
        </is>
      </c>
      <c r="H29" s="3" t="inlineStr">
        <is>
          <t>Didnt work out</t>
        </is>
      </c>
      <c r="I29" s="3" t="inlineStr">
        <is>
          <t>TBD</t>
        </is>
      </c>
      <c r="J29" s="3" t="inlineStr"/>
      <c r="K29" s="3" t="inlineStr">
        <is>
          <t>Commercials shared with the client. Client has not responded thereafter.</t>
        </is>
      </c>
    </row>
    <row r="30">
      <c r="A30" s="2" t="inlineStr">
        <is>
          <t>28th Jan</t>
        </is>
      </c>
      <c r="B30" s="2" t="inlineStr">
        <is>
          <t>My Athlete</t>
        </is>
      </c>
      <c r="C30" s="2" t="inlineStr">
        <is>
          <t>Branding</t>
        </is>
      </c>
      <c r="D30" s="2" t="inlineStr">
        <is>
          <t>Ally</t>
        </is>
      </c>
      <c r="E30" s="2" t="inlineStr">
        <is>
          <t>Bhaben</t>
        </is>
      </c>
      <c r="F30" s="2" t="inlineStr">
        <is>
          <t>+91 97926 74222</t>
        </is>
      </c>
      <c r="G30" s="2" t="inlineStr">
        <is>
          <t>bhaben83@gmail.com</t>
        </is>
      </c>
      <c r="H30" s="2" t="inlineStr">
        <is>
          <t>Didnt work out</t>
        </is>
      </c>
      <c r="I30" s="2" t="inlineStr">
        <is>
          <t>TBD</t>
        </is>
      </c>
      <c r="J30" s="2" t="inlineStr"/>
      <c r="K30" s="2" t="inlineStr">
        <is>
          <t>Proposal to be shared for the same by the 29th January, 2026</t>
        </is>
      </c>
    </row>
    <row r="31">
      <c r="A31" s="3" t="inlineStr">
        <is>
          <t>18th Feb</t>
        </is>
      </c>
      <c r="B31" s="3" t="inlineStr">
        <is>
          <t>Dada Design</t>
        </is>
      </c>
      <c r="C31" s="3" t="inlineStr">
        <is>
          <t>Web</t>
        </is>
      </c>
      <c r="D31" s="3" t="inlineStr">
        <is>
          <t>Ally</t>
        </is>
      </c>
      <c r="E31" s="3" t="inlineStr">
        <is>
          <t>Vasanthan</t>
        </is>
      </c>
      <c r="F31" s="3" t="inlineStr">
        <is>
          <t>+97451386864</t>
        </is>
      </c>
      <c r="G31" s="3" t="inlineStr">
        <is>
          <t>vasanth@dadaarchitecture.com</t>
        </is>
      </c>
      <c r="H31" s="3" t="inlineStr">
        <is>
          <t>Didnt work out</t>
        </is>
      </c>
      <c r="I31" s="3" t="inlineStr"/>
      <c r="J31" s="3" t="inlineStr"/>
      <c r="K31" s="3" t="inlineStr">
        <is>
          <t>No response. Follow up has been done.</t>
        </is>
      </c>
    </row>
    <row r="32">
      <c r="A32" s="2" t="inlineStr">
        <is>
          <t>2nd March</t>
        </is>
      </c>
      <c r="B32" s="2" t="inlineStr">
        <is>
          <t>Upal - Branding</t>
        </is>
      </c>
      <c r="C32" s="2" t="inlineStr">
        <is>
          <t>Branding</t>
        </is>
      </c>
      <c r="D32" s="2" t="inlineStr">
        <is>
          <t>Ally</t>
        </is>
      </c>
      <c r="E32" s="2" t="inlineStr">
        <is>
          <t>Upal</t>
        </is>
      </c>
      <c r="F32" s="2" t="inlineStr">
        <is>
          <t>+91 98201 73037</t>
        </is>
      </c>
      <c r="G32" s="2" t="inlineStr">
        <is>
          <t>upalsarkar31@gmail.com</t>
        </is>
      </c>
      <c r="H32" s="2" t="inlineStr">
        <is>
          <t>Didnt work out</t>
        </is>
      </c>
      <c r="I32" s="2" t="inlineStr"/>
      <c r="J32" s="2" t="inlineStr"/>
      <c r="K32" s="2" t="inlineStr">
        <is>
          <t>Budget of 2.5L.</t>
        </is>
      </c>
    </row>
    <row r="33">
      <c r="A33" s="3" t="inlineStr">
        <is>
          <t>2nd March</t>
        </is>
      </c>
      <c r="B33" s="3" t="inlineStr">
        <is>
          <t>Megrove Global School</t>
        </is>
      </c>
      <c r="C33" s="3" t="inlineStr">
        <is>
          <t>Branding</t>
        </is>
      </c>
      <c r="D33" s="3" t="inlineStr">
        <is>
          <t>Ally</t>
        </is>
      </c>
      <c r="E33" s="3" t="inlineStr">
        <is>
          <t>Amol</t>
        </is>
      </c>
      <c r="F33" s="3" t="inlineStr">
        <is>
          <t>+91 90214 96479</t>
        </is>
      </c>
      <c r="G33" s="3" t="inlineStr">
        <is>
          <t>amol.m@adccacademy.com</t>
        </is>
      </c>
      <c r="H33" s="3" t="inlineStr">
        <is>
          <t>Didnt work out</t>
        </is>
      </c>
      <c r="I33" s="3" t="inlineStr"/>
      <c r="J33" s="3" t="inlineStr"/>
      <c r="K33" s="3" t="inlineStr">
        <is>
          <t>Proposal discussion and commercials on the 25th Feb.</t>
        </is>
      </c>
    </row>
  </sheetData>
  <autoFilter ref="A1:K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2026-03-12T06:19:36Z</dcterms:created>
  <dcterms:modified xsi:type="dcterms:W3CDTF">2026-03-12T06:19:36Z</dcterms:modified>
</cp:coreProperties>
</file>